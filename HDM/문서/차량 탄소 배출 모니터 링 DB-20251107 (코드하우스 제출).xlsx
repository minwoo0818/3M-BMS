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0.36\연구소\2. 진행 중인 지원사업\9. 창원대학교 코드하우스 코딩아카데미 셀기반 프로젝트\2. 코드하우스 3기 (진행 중)\나이스파크, 에스원 DB 자료\"/>
    </mc:Choice>
  </mc:AlternateContent>
  <xr:revisionPtr revIDLastSave="0" documentId="13_ncr:1_{A1436C7C-5A0C-489C-88DA-F6BF7758BAB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메모" sheetId="2" r:id="rId4"/>
  </sheets>
  <definedNames>
    <definedName name="_xlnm._FilterDatabase" localSheetId="0" hidden="1">'차량 DB'!$A$1:$AH$172</definedName>
  </definedNames>
  <calcPr calcId="191029"/>
</workbook>
</file>

<file path=xl/calcChain.xml><?xml version="1.0" encoding="utf-8"?>
<calcChain xmlns="http://schemas.openxmlformats.org/spreadsheetml/2006/main">
  <c r="Y5" i="8" l="1"/>
  <c r="Y4" i="8"/>
  <c r="Y3" i="8"/>
  <c r="Y2" i="8"/>
  <c r="AG2" i="8"/>
  <c r="AG5" i="8"/>
  <c r="AG4" i="8"/>
  <c r="AG3" i="8"/>
  <c r="AF5" i="8"/>
  <c r="AF4" i="8"/>
  <c r="AF3" i="8"/>
  <c r="AF2" i="8"/>
  <c r="AF168" i="8"/>
  <c r="AE168" i="8"/>
  <c r="AG168" i="8" s="1"/>
  <c r="Y168" i="8"/>
  <c r="AF167" i="8"/>
  <c r="AG167" i="8" s="1"/>
  <c r="AE167" i="8"/>
  <c r="Y167" i="8"/>
  <c r="AF166" i="8"/>
  <c r="AG166" i="8" s="1"/>
  <c r="AE166" i="8"/>
  <c r="Y166" i="8"/>
  <c r="AF165" i="8"/>
  <c r="AE165" i="8"/>
  <c r="AG165" i="8" s="1"/>
  <c r="Y165" i="8"/>
  <c r="AF164" i="8"/>
  <c r="AE164" i="8"/>
  <c r="AG164" i="8" s="1"/>
  <c r="Y164" i="8"/>
  <c r="AF163" i="8"/>
  <c r="AE163" i="8"/>
  <c r="AG163" i="8" s="1"/>
  <c r="Y163" i="8"/>
  <c r="AF162" i="8"/>
  <c r="AE162" i="8"/>
  <c r="AG162" i="8" s="1"/>
  <c r="Y162" i="8"/>
  <c r="AF161" i="8"/>
  <c r="AE161" i="8"/>
  <c r="AG161" i="8" s="1"/>
  <c r="Y161" i="8"/>
  <c r="AF160" i="8"/>
  <c r="AE160" i="8"/>
  <c r="AG160" i="8" s="1"/>
  <c r="Y160" i="8"/>
  <c r="AF159" i="8"/>
  <c r="AG159" i="8" s="1"/>
  <c r="AE159" i="8"/>
  <c r="Y159" i="8"/>
  <c r="AF158" i="8"/>
  <c r="AG158" i="8" s="1"/>
  <c r="AE158" i="8"/>
  <c r="Y158" i="8"/>
  <c r="AF157" i="8"/>
  <c r="AE157" i="8"/>
  <c r="AG157" i="8" s="1"/>
  <c r="Y157" i="8"/>
  <c r="AF156" i="8"/>
  <c r="AE156" i="8"/>
  <c r="AG156" i="8" s="1"/>
  <c r="Y156" i="8"/>
  <c r="AF155" i="8"/>
  <c r="AE155" i="8"/>
  <c r="AG155" i="8" s="1"/>
  <c r="Y155" i="8"/>
  <c r="AF154" i="8"/>
  <c r="AE154" i="8"/>
  <c r="AG154" i="8" s="1"/>
  <c r="Y154" i="8"/>
  <c r="AF153" i="8"/>
  <c r="AE153" i="8"/>
  <c r="AG153" i="8" s="1"/>
  <c r="Y153" i="8"/>
  <c r="AF152" i="8"/>
  <c r="AE152" i="8"/>
  <c r="AG152" i="8" s="1"/>
  <c r="Y152" i="8"/>
  <c r="AF151" i="8"/>
  <c r="AG151" i="8" s="1"/>
  <c r="AE151" i="8"/>
  <c r="Y151" i="8"/>
  <c r="AF150" i="8"/>
  <c r="AG150" i="8" s="1"/>
  <c r="AE150" i="8"/>
  <c r="Y150" i="8"/>
  <c r="AF149" i="8"/>
  <c r="AE149" i="8"/>
  <c r="AG149" i="8" s="1"/>
  <c r="Y149" i="8"/>
  <c r="AF148" i="8"/>
  <c r="AE148" i="8"/>
  <c r="AG148" i="8" s="1"/>
  <c r="Y148" i="8"/>
  <c r="AF147" i="8"/>
  <c r="AE147" i="8"/>
  <c r="AG147" i="8" s="1"/>
  <c r="Y147" i="8"/>
  <c r="AF146" i="8"/>
  <c r="AE146" i="8"/>
  <c r="AG146" i="8" s="1"/>
  <c r="Y146" i="8"/>
  <c r="AF145" i="8"/>
  <c r="AE145" i="8"/>
  <c r="AG145" i="8" s="1"/>
  <c r="Y145" i="8"/>
  <c r="AF144" i="8"/>
  <c r="AE144" i="8"/>
  <c r="AG144" i="8" s="1"/>
  <c r="Y144" i="8"/>
  <c r="AF143" i="8"/>
  <c r="AG143" i="8" s="1"/>
  <c r="AE143" i="8"/>
  <c r="Y143" i="8"/>
  <c r="AF142" i="8"/>
  <c r="AG142" i="8" s="1"/>
  <c r="AE142" i="8"/>
  <c r="Y142" i="8"/>
  <c r="AF141" i="8"/>
  <c r="AE141" i="8"/>
  <c r="AG141" i="8" s="1"/>
  <c r="Y141" i="8"/>
  <c r="AF140" i="8"/>
  <c r="AE140" i="8"/>
  <c r="AG140" i="8" s="1"/>
  <c r="Y140" i="8"/>
  <c r="AF139" i="8"/>
  <c r="AE139" i="8"/>
  <c r="AG139" i="8" s="1"/>
  <c r="Y139" i="8"/>
  <c r="AF138" i="8"/>
  <c r="AE138" i="8"/>
  <c r="AG138" i="8" s="1"/>
  <c r="Y138" i="8"/>
  <c r="AF137" i="8"/>
  <c r="AE137" i="8"/>
  <c r="AG137" i="8" s="1"/>
  <c r="Y137" i="8"/>
  <c r="AF136" i="8"/>
  <c r="AE136" i="8"/>
  <c r="AG136" i="8" s="1"/>
  <c r="Y136" i="8"/>
  <c r="AF135" i="8"/>
  <c r="AG135" i="8" s="1"/>
  <c r="AE135" i="8"/>
  <c r="Y135" i="8"/>
  <c r="AF134" i="8"/>
  <c r="AG134" i="8" s="1"/>
  <c r="AE134" i="8"/>
  <c r="Y134" i="8"/>
  <c r="AF133" i="8"/>
  <c r="AE133" i="8"/>
  <c r="AG133" i="8" s="1"/>
  <c r="Y133" i="8"/>
  <c r="AF132" i="8"/>
  <c r="AE132" i="8"/>
  <c r="AG132" i="8" s="1"/>
  <c r="Y132" i="8"/>
  <c r="AF131" i="8"/>
  <c r="AE131" i="8"/>
  <c r="AG131" i="8" s="1"/>
  <c r="Y131" i="8"/>
  <c r="AF130" i="8"/>
  <c r="AE130" i="8"/>
  <c r="AG130" i="8" s="1"/>
  <c r="Y130" i="8"/>
  <c r="AF129" i="8"/>
  <c r="AE129" i="8"/>
  <c r="AG129" i="8" s="1"/>
  <c r="Y129" i="8"/>
  <c r="AF128" i="8"/>
  <c r="AE128" i="8"/>
  <c r="AG128" i="8" s="1"/>
  <c r="Y128" i="8"/>
  <c r="AF127" i="8"/>
  <c r="AG127" i="8" s="1"/>
  <c r="AE127" i="8"/>
  <c r="Y127" i="8"/>
  <c r="AF126" i="8"/>
  <c r="AG126" i="8" s="1"/>
  <c r="AE126" i="8"/>
  <c r="Y126" i="8"/>
  <c r="AF125" i="8"/>
  <c r="AE125" i="8"/>
  <c r="AG125" i="8" s="1"/>
  <c r="Y125" i="8"/>
  <c r="AF124" i="8"/>
  <c r="AE124" i="8"/>
  <c r="AG124" i="8" s="1"/>
  <c r="Y124" i="8"/>
  <c r="AF123" i="8"/>
  <c r="AE123" i="8"/>
  <c r="AG123" i="8" s="1"/>
  <c r="Y123" i="8"/>
  <c r="AF122" i="8"/>
  <c r="AE122" i="8"/>
  <c r="AG122" i="8" s="1"/>
  <c r="Y122" i="8"/>
  <c r="AF121" i="8"/>
  <c r="AE121" i="8"/>
  <c r="AG121" i="8" s="1"/>
  <c r="Y121" i="8"/>
  <c r="AF120" i="8"/>
  <c r="AE120" i="8"/>
  <c r="AG120" i="8" s="1"/>
  <c r="Y120" i="8"/>
  <c r="AF119" i="8"/>
  <c r="AG119" i="8" s="1"/>
  <c r="AE119" i="8"/>
  <c r="Y119" i="8"/>
  <c r="AF118" i="8"/>
  <c r="AG118" i="8" s="1"/>
  <c r="AE118" i="8"/>
  <c r="Y118" i="8"/>
  <c r="AF117" i="8"/>
  <c r="AE117" i="8"/>
  <c r="AG117" i="8" s="1"/>
  <c r="Y117" i="8"/>
  <c r="AF116" i="8"/>
  <c r="AE116" i="8"/>
  <c r="AG116" i="8" s="1"/>
  <c r="Y116" i="8"/>
  <c r="AF115" i="8"/>
  <c r="AE115" i="8"/>
  <c r="AG115" i="8" s="1"/>
  <c r="Y115" i="8"/>
  <c r="AF114" i="8"/>
  <c r="AE114" i="8"/>
  <c r="AG114" i="8" s="1"/>
  <c r="Y114" i="8"/>
  <c r="AF113" i="8"/>
  <c r="AE113" i="8"/>
  <c r="AG113" i="8" s="1"/>
  <c r="Y113" i="8"/>
  <c r="AF112" i="8"/>
  <c r="AE112" i="8"/>
  <c r="AG112" i="8" s="1"/>
  <c r="Y112" i="8"/>
  <c r="AF111" i="8"/>
  <c r="AG111" i="8" s="1"/>
  <c r="AE111" i="8"/>
  <c r="Y111" i="8"/>
  <c r="AF110" i="8"/>
  <c r="AG110" i="8" s="1"/>
  <c r="AE110" i="8"/>
  <c r="Y110" i="8"/>
  <c r="AF109" i="8"/>
  <c r="AE109" i="8"/>
  <c r="AG109" i="8" s="1"/>
  <c r="Y109" i="8"/>
  <c r="AF108" i="8"/>
  <c r="AE108" i="8"/>
  <c r="AG108" i="8" s="1"/>
  <c r="Y108" i="8"/>
  <c r="AF107" i="8"/>
  <c r="AE107" i="8"/>
  <c r="AG107" i="8" s="1"/>
  <c r="Y107" i="8"/>
  <c r="AF106" i="8"/>
  <c r="AE106" i="8"/>
  <c r="AG106" i="8" s="1"/>
  <c r="Y106" i="8"/>
  <c r="AF105" i="8"/>
  <c r="AE105" i="8"/>
  <c r="AG105" i="8" s="1"/>
  <c r="Y105" i="8"/>
  <c r="AF104" i="8"/>
  <c r="AE104" i="8"/>
  <c r="AG104" i="8" s="1"/>
  <c r="Y104" i="8"/>
  <c r="AF103" i="8"/>
  <c r="AG103" i="8" s="1"/>
  <c r="AE103" i="8"/>
  <c r="Y103" i="8"/>
  <c r="AF102" i="8"/>
  <c r="AG102" i="8" s="1"/>
  <c r="AE102" i="8"/>
  <c r="Y102" i="8"/>
  <c r="AF101" i="8"/>
  <c r="AE101" i="8"/>
  <c r="AG101" i="8" s="1"/>
  <c r="Y101" i="8"/>
  <c r="AF100" i="8"/>
  <c r="AE100" i="8"/>
  <c r="AG100" i="8" s="1"/>
  <c r="Y100" i="8"/>
  <c r="AF99" i="8"/>
  <c r="AE99" i="8"/>
  <c r="AG99" i="8" s="1"/>
  <c r="Y99" i="8"/>
  <c r="AF98" i="8"/>
  <c r="AE98" i="8"/>
  <c r="AG98" i="8" s="1"/>
  <c r="Y98" i="8"/>
  <c r="AF97" i="8"/>
  <c r="AE97" i="8"/>
  <c r="AG97" i="8" s="1"/>
  <c r="Y97" i="8"/>
  <c r="AF96" i="8"/>
  <c r="AE96" i="8"/>
  <c r="AG96" i="8" s="1"/>
  <c r="Y96" i="8"/>
  <c r="AF95" i="8"/>
  <c r="AG95" i="8" s="1"/>
  <c r="AE95" i="8"/>
  <c r="Y95" i="8"/>
  <c r="AF94" i="8"/>
  <c r="AG94" i="8" s="1"/>
  <c r="AE94" i="8"/>
  <c r="Y94" i="8"/>
  <c r="AF93" i="8"/>
  <c r="AE93" i="8"/>
  <c r="AG93" i="8" s="1"/>
  <c r="Y93" i="8"/>
  <c r="AF92" i="8"/>
  <c r="AE92" i="8"/>
  <c r="AG92" i="8" s="1"/>
  <c r="Y92" i="8"/>
  <c r="AF91" i="8"/>
  <c r="AE91" i="8"/>
  <c r="AG91" i="8" s="1"/>
  <c r="Y91" i="8"/>
  <c r="AF90" i="8"/>
  <c r="AE90" i="8"/>
  <c r="AG90" i="8" s="1"/>
  <c r="Y90" i="8"/>
  <c r="AF89" i="8"/>
  <c r="AE89" i="8"/>
  <c r="AG89" i="8" s="1"/>
  <c r="Y89" i="8"/>
  <c r="AF88" i="8"/>
  <c r="AE88" i="8"/>
  <c r="AG88" i="8" s="1"/>
  <c r="Y88" i="8"/>
  <c r="AF87" i="8"/>
  <c r="AG87" i="8" s="1"/>
  <c r="AE87" i="8"/>
  <c r="Y87" i="8"/>
  <c r="AF86" i="8"/>
  <c r="AG86" i="8" s="1"/>
  <c r="AE86" i="8"/>
  <c r="Y86" i="8"/>
  <c r="AF85" i="8"/>
  <c r="AE85" i="8"/>
  <c r="AG85" i="8" s="1"/>
  <c r="Y85" i="8"/>
  <c r="AF84" i="8"/>
  <c r="AE84" i="8"/>
  <c r="AG84" i="8" s="1"/>
  <c r="Y84" i="8"/>
  <c r="AF83" i="8"/>
  <c r="AE83" i="8"/>
  <c r="AG83" i="8" s="1"/>
  <c r="Y83" i="8"/>
  <c r="AF82" i="8"/>
  <c r="AE82" i="8"/>
  <c r="AG82" i="8" s="1"/>
  <c r="Y82" i="8"/>
  <c r="AF81" i="8"/>
  <c r="AE81" i="8"/>
  <c r="AG81" i="8" s="1"/>
  <c r="Y81" i="8"/>
  <c r="AF80" i="8"/>
  <c r="AE80" i="8"/>
  <c r="AG80" i="8" s="1"/>
  <c r="Y80" i="8"/>
  <c r="AF79" i="8"/>
  <c r="AG79" i="8" s="1"/>
  <c r="AE79" i="8"/>
  <c r="Y79" i="8"/>
  <c r="AF78" i="8"/>
  <c r="AG78" i="8" s="1"/>
  <c r="AE78" i="8"/>
  <c r="Y78" i="8"/>
  <c r="AF77" i="8"/>
  <c r="AE77" i="8"/>
  <c r="AG77" i="8" s="1"/>
  <c r="Y77" i="8"/>
  <c r="AF76" i="8"/>
  <c r="AE76" i="8"/>
  <c r="AG76" i="8" s="1"/>
  <c r="Y76" i="8"/>
  <c r="AF75" i="8"/>
  <c r="AE75" i="8"/>
  <c r="AG75" i="8" s="1"/>
  <c r="Y75" i="8"/>
  <c r="AF74" i="8"/>
  <c r="AE74" i="8"/>
  <c r="AG74" i="8" s="1"/>
  <c r="Y74" i="8"/>
  <c r="AF73" i="8"/>
  <c r="AE73" i="8"/>
  <c r="AG73" i="8" s="1"/>
  <c r="Y73" i="8"/>
  <c r="AF72" i="8"/>
  <c r="AE72" i="8"/>
  <c r="AG72" i="8" s="1"/>
  <c r="Y72" i="8"/>
  <c r="AF71" i="8"/>
  <c r="AG71" i="8" s="1"/>
  <c r="AE71" i="8"/>
  <c r="Y71" i="8"/>
  <c r="AF70" i="8"/>
  <c r="AG70" i="8" s="1"/>
  <c r="AE70" i="8"/>
  <c r="Y70" i="8"/>
  <c r="AF69" i="8"/>
  <c r="AE69" i="8"/>
  <c r="AG69" i="8" s="1"/>
  <c r="Y69" i="8"/>
  <c r="AF68" i="8"/>
  <c r="AE68" i="8"/>
  <c r="AG68" i="8" s="1"/>
  <c r="Y68" i="8"/>
  <c r="AF67" i="8"/>
  <c r="AE67" i="8"/>
  <c r="AG67" i="8" s="1"/>
  <c r="Y67" i="8"/>
  <c r="AF66" i="8"/>
  <c r="AE66" i="8"/>
  <c r="AG66" i="8" s="1"/>
  <c r="Y66" i="8"/>
  <c r="AF65" i="8"/>
  <c r="AE65" i="8"/>
  <c r="AG65" i="8" s="1"/>
  <c r="Y65" i="8"/>
  <c r="AF64" i="8"/>
  <c r="AE64" i="8"/>
  <c r="AG64" i="8" s="1"/>
  <c r="Y64" i="8"/>
  <c r="AF63" i="8"/>
  <c r="AG63" i="8" s="1"/>
  <c r="AE63" i="8"/>
  <c r="Y63" i="8"/>
  <c r="AF62" i="8"/>
  <c r="AG62" i="8" s="1"/>
  <c r="AE62" i="8"/>
  <c r="Y62" i="8"/>
  <c r="AF61" i="8"/>
  <c r="AE61" i="8"/>
  <c r="AG61" i="8" s="1"/>
  <c r="Y61" i="8"/>
  <c r="AF60" i="8"/>
  <c r="AE60" i="8"/>
  <c r="AG60" i="8" s="1"/>
  <c r="Y60" i="8"/>
  <c r="AF59" i="8"/>
  <c r="AE59" i="8"/>
  <c r="AG59" i="8" s="1"/>
  <c r="Y59" i="8"/>
  <c r="AF58" i="8"/>
  <c r="AE58" i="8"/>
  <c r="AG58" i="8" s="1"/>
  <c r="Y58" i="8"/>
  <c r="AF57" i="8"/>
  <c r="AE57" i="8"/>
  <c r="AG57" i="8" s="1"/>
  <c r="AG56" i="8"/>
  <c r="AF56" i="8"/>
  <c r="AE56" i="8"/>
  <c r="Y56" i="8"/>
  <c r="AF55" i="8"/>
  <c r="AE55" i="8"/>
  <c r="AG55" i="8" s="1"/>
  <c r="Y55" i="8"/>
  <c r="AF54" i="8"/>
  <c r="AE54" i="8"/>
  <c r="AG54" i="8" s="1"/>
  <c r="Y54" i="8"/>
  <c r="AF53" i="8"/>
  <c r="AE53" i="8"/>
  <c r="AG53" i="8" s="1"/>
  <c r="Y53" i="8"/>
  <c r="AF52" i="8"/>
  <c r="AE52" i="8"/>
  <c r="AG52" i="8" s="1"/>
  <c r="Y52" i="8"/>
  <c r="AF51" i="8"/>
  <c r="AE51" i="8"/>
  <c r="AG51" i="8" s="1"/>
  <c r="Y51" i="8"/>
  <c r="AF50" i="8"/>
  <c r="AE50" i="8"/>
  <c r="AG50" i="8" s="1"/>
  <c r="Y50" i="8"/>
  <c r="AF49" i="8"/>
  <c r="AE49" i="8"/>
  <c r="AG49" i="8" s="1"/>
  <c r="Y49" i="8"/>
  <c r="AG48" i="8"/>
  <c r="AF48" i="8"/>
  <c r="AE48" i="8"/>
  <c r="Y48" i="8"/>
  <c r="AF47" i="8"/>
  <c r="AE47" i="8"/>
  <c r="AG47" i="8" s="1"/>
  <c r="Y47" i="8"/>
  <c r="AF46" i="8"/>
  <c r="AE46" i="8"/>
  <c r="AG46" i="8" s="1"/>
  <c r="Y46" i="8"/>
  <c r="AF45" i="8"/>
  <c r="AE45" i="8"/>
  <c r="AG45" i="8" s="1"/>
  <c r="Y45" i="8"/>
  <c r="AF44" i="8"/>
  <c r="AE44" i="8"/>
  <c r="AG44" i="8" s="1"/>
  <c r="Y44" i="8"/>
  <c r="AF43" i="8"/>
  <c r="AE43" i="8"/>
  <c r="AG43" i="8" s="1"/>
  <c r="Y43" i="8"/>
  <c r="AF42" i="8"/>
  <c r="AE42" i="8"/>
  <c r="AG42" i="8" s="1"/>
  <c r="Y42" i="8"/>
  <c r="AF41" i="8"/>
  <c r="AE41" i="8"/>
  <c r="AG41" i="8" s="1"/>
  <c r="Y41" i="8"/>
  <c r="AG40" i="8"/>
  <c r="AF40" i="8"/>
  <c r="AE40" i="8"/>
  <c r="Y40" i="8"/>
  <c r="AF39" i="8"/>
  <c r="AE39" i="8"/>
  <c r="AG39" i="8" s="1"/>
  <c r="Y39" i="8"/>
  <c r="AF38" i="8"/>
  <c r="AE38" i="8"/>
  <c r="AG38" i="8" s="1"/>
  <c r="Y38" i="8"/>
  <c r="AF37" i="8"/>
  <c r="AE37" i="8"/>
  <c r="Y37" i="8"/>
  <c r="AG37" i="8" s="1"/>
  <c r="AF36" i="8"/>
  <c r="AE36" i="8"/>
  <c r="Y36" i="8"/>
  <c r="AG36" i="8" s="1"/>
  <c r="AF35" i="8"/>
  <c r="AE35" i="8"/>
  <c r="Y35" i="8"/>
  <c r="AG35" i="8" s="1"/>
  <c r="AF34" i="8"/>
  <c r="AE34" i="8"/>
  <c r="Y34" i="8"/>
  <c r="AG34" i="8" s="1"/>
  <c r="AF33" i="8"/>
  <c r="AE33" i="8"/>
  <c r="Y33" i="8"/>
  <c r="AG33" i="8" s="1"/>
  <c r="AG32" i="8"/>
  <c r="AF32" i="8"/>
  <c r="AE32" i="8"/>
  <c r="Y32" i="8"/>
  <c r="AF31" i="8"/>
  <c r="AE31" i="8"/>
  <c r="Y31" i="8"/>
  <c r="AG31" i="8" s="1"/>
  <c r="AF30" i="8"/>
  <c r="AE30" i="8"/>
  <c r="AG30" i="8" s="1"/>
  <c r="Y30" i="8"/>
  <c r="AF29" i="8"/>
  <c r="AE29" i="8"/>
  <c r="Y29" i="8"/>
  <c r="AG29" i="8" s="1"/>
  <c r="AF28" i="8"/>
  <c r="AE28" i="8"/>
  <c r="Y28" i="8"/>
  <c r="AG28" i="8" s="1"/>
  <c r="AF27" i="8"/>
  <c r="AE27" i="8"/>
  <c r="Y27" i="8"/>
  <c r="AG27" i="8" s="1"/>
  <c r="AF26" i="8"/>
  <c r="AE26" i="8"/>
  <c r="Y26" i="8"/>
  <c r="AG26" i="8" s="1"/>
  <c r="AF25" i="8"/>
  <c r="AE25" i="8"/>
  <c r="Y25" i="8"/>
  <c r="AG25" i="8" s="1"/>
  <c r="AG24" i="8"/>
  <c r="AF24" i="8"/>
  <c r="AE24" i="8"/>
  <c r="Y24" i="8"/>
  <c r="AF23" i="8"/>
  <c r="AE23" i="8"/>
  <c r="Y23" i="8"/>
  <c r="AG23" i="8" s="1"/>
  <c r="AF22" i="8"/>
  <c r="AE22" i="8"/>
  <c r="AG22" i="8" s="1"/>
  <c r="Y22" i="8"/>
  <c r="AF21" i="8"/>
  <c r="AE21" i="8"/>
  <c r="Y21" i="8"/>
  <c r="AG21" i="8" s="1"/>
  <c r="AF20" i="8"/>
  <c r="AE20" i="8"/>
  <c r="Y20" i="8"/>
  <c r="AG20" i="8" s="1"/>
  <c r="AF19" i="8"/>
  <c r="AE19" i="8"/>
  <c r="Y19" i="8"/>
  <c r="AG19" i="8" s="1"/>
  <c r="AF18" i="8"/>
  <c r="AE18" i="8"/>
  <c r="Y18" i="8"/>
  <c r="AG18" i="8" s="1"/>
  <c r="AF17" i="8"/>
  <c r="AE17" i="8"/>
  <c r="Y17" i="8"/>
  <c r="AG17" i="8" s="1"/>
  <c r="AG16" i="8"/>
  <c r="AF16" i="8"/>
  <c r="AE16" i="8"/>
  <c r="Y16" i="8"/>
  <c r="AF15" i="8"/>
  <c r="AE15" i="8"/>
  <c r="Y15" i="8"/>
  <c r="AG15" i="8" s="1"/>
  <c r="AF14" i="8"/>
  <c r="AE14" i="8"/>
  <c r="AG14" i="8" s="1"/>
  <c r="Y14" i="8"/>
  <c r="AF13" i="8"/>
  <c r="AE13" i="8"/>
  <c r="Y13" i="8"/>
  <c r="AG13" i="8" s="1"/>
  <c r="AF12" i="8"/>
  <c r="AE12" i="8"/>
  <c r="Y12" i="8"/>
  <c r="AG12" i="8" s="1"/>
  <c r="AF11" i="8"/>
  <c r="AE11" i="8"/>
  <c r="Y11" i="8"/>
  <c r="AG11" i="8" s="1"/>
  <c r="AF10" i="8"/>
  <c r="AE10" i="8"/>
  <c r="Y10" i="8"/>
  <c r="AG10" i="8" s="1"/>
  <c r="AF9" i="8"/>
  <c r="AE9" i="8"/>
  <c r="Y9" i="8"/>
  <c r="AG9" i="8" s="1"/>
  <c r="AG8" i="8"/>
  <c r="AF8" i="8"/>
  <c r="AE8" i="8"/>
  <c r="Y8" i="8"/>
  <c r="AF7" i="8"/>
  <c r="AE7" i="8"/>
  <c r="AG7" i="8" s="1"/>
  <c r="Y7" i="8"/>
  <c r="AF6" i="8"/>
  <c r="AE6" i="8"/>
  <c r="AG6" i="8" s="1"/>
  <c r="Y6" i="8"/>
  <c r="AE5" i="8"/>
  <c r="AE4" i="8"/>
  <c r="AE3" i="8"/>
  <c r="AE2" i="8"/>
  <c r="C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<sst xmlns="http://schemas.openxmlformats.org/spreadsheetml/2006/main" count="2773" uniqueCount="761">
  <si>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</si>
  <si>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</si>
  <si>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</si>
  <si>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</si>
  <si>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</si>
  <si>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</si>
  <si>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</si>
  <si>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</si>
  <si>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</si>
  <si>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</si>
  <si>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</si>
  <si>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51너7263</t>
  </si>
  <si>
    <t>178구5586</t>
  </si>
  <si>
    <t>62모0303</t>
  </si>
  <si>
    <t>176보6996</t>
  </si>
  <si>
    <t>55노4224</t>
  </si>
  <si>
    <t>279보4305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</si>
  <si>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</si>
  <si>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</si>
  <si>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</si>
  <si>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</si>
  <si>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</si>
  <si>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</si>
  <si>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</si>
  <si>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</si>
  <si>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</si>
  <si>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24노5922</t>
  </si>
  <si>
    <t>97라0824</t>
  </si>
  <si>
    <t>281다3241</t>
  </si>
  <si>
    <t>17보5519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</si>
  <si>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</si>
  <si>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</si>
  <si>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</si>
  <si>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</si>
  <si>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</si>
  <si>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</si>
  <si>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</si>
  <si>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</si>
  <si>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</si>
  <si>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</si>
  <si>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</si>
  <si>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</si>
  <si>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</si>
  <si>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</si>
  <si>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</si>
  <si>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</si>
  <si>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</si>
  <si>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80구9833</t>
  </si>
  <si>
    <t>93아8311</t>
  </si>
  <si>
    <t>94사5769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</si>
  <si>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</si>
  <si>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</si>
  <si>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</si>
  <si>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</si>
  <si>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</si>
  <si>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</si>
  <si>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</si>
  <si>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</si>
  <si>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</si>
  <si>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</si>
  <si>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</si>
  <si>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</si>
  <si>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</si>
  <si>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</si>
  <si>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</si>
  <si>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</si>
  <si>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</si>
  <si>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</si>
  <si>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</si>
  <si>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</si>
  <si>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</si>
  <si>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</si>
  <si>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</si>
  <si>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</si>
  <si>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97버7441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</si>
  <si>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</si>
  <si>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</si>
  <si>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</si>
  <si>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</si>
  <si>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</si>
  <si>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</si>
  <si>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</si>
  <si>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</si>
  <si>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</si>
  <si>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</si>
  <si>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</si>
  <si>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</si>
  <si>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</si>
  <si>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</si>
  <si>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</si>
  <si>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</si>
  <si>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</si>
  <si>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</si>
  <si>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</si>
  <si>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</si>
  <si>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101다1758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</si>
  <si>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</si>
  <si>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</si>
  <si>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</si>
  <si>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</si>
  <si>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</si>
  <si>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</si>
  <si>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</si>
  <si>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</si>
  <si>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</si>
  <si>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</si>
  <si>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</si>
  <si>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</si>
  <si>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</si>
  <si>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</si>
  <si>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</si>
  <si>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</si>
  <si>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</si>
  <si>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</si>
  <si>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</si>
  <si>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</si>
  <si>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</si>
  <si>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</si>
  <si>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</si>
  <si>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</si>
  <si>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</si>
  <si>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</si>
  <si>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82누2033</t>
  </si>
  <si>
    <t>143우3855</t>
  </si>
  <si>
    <t>경남80사5040</t>
  </si>
  <si>
    <t>300누5881</t>
  </si>
  <si>
    <t>146너2950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</si>
  <si>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</si>
  <si>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</si>
  <si>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</si>
  <si>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</si>
  <si>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</si>
  <si>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</si>
  <si>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</si>
  <si>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</si>
  <si>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</si>
  <si>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</si>
  <si>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</si>
  <si>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</si>
  <si>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88마5433</t>
  </si>
  <si>
    <t>14구2295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</si>
  <si>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</si>
  <si>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</si>
  <si>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</si>
  <si>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</si>
  <si>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</si>
  <si>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</si>
  <si>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</si>
  <si>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</si>
  <si>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165루1024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</si>
  <si>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</si>
  <si>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</si>
  <si>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</si>
  <si>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</si>
  <si>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</si>
  <si>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</si>
  <si>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</si>
  <si>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</si>
  <si>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</si>
  <si>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시작일</t>
  </si>
  <si>
    <t>20240701</t>
  </si>
  <si>
    <t>20240708</t>
  </si>
  <si>
    <t>20240714</t>
  </si>
  <si>
    <t>20240801</t>
  </si>
  <si>
    <t>20240901</t>
  </si>
  <si>
    <t>20241001</t>
  </si>
  <si>
    <t>20241003</t>
  </si>
  <si>
    <t>20241101</t>
  </si>
  <si>
    <t>20241201</t>
  </si>
  <si>
    <t>20241209</t>
  </si>
  <si>
    <t>20241217</t>
  </si>
  <si>
    <t>20250101</t>
  </si>
  <si>
    <t>20250211</t>
  </si>
  <si>
    <t>20250201</t>
  </si>
  <si>
    <t>20250301</t>
  </si>
  <si>
    <t>20250401</t>
  </si>
  <si>
    <t>20250501</t>
  </si>
  <si>
    <t>20250701</t>
  </si>
  <si>
    <t>20250720</t>
  </si>
  <si>
    <t>20250801</t>
  </si>
  <si>
    <t>20250817</t>
  </si>
  <si>
    <t>20250821</t>
  </si>
  <si>
    <t>20250901</t>
  </si>
  <si>
    <t>20251001</t>
  </si>
  <si>
    <t>종료일</t>
  </si>
  <si>
    <t>20991231</t>
  </si>
  <si>
    <t>20261231</t>
  </si>
  <si>
    <t>20241031</t>
  </si>
  <si>
    <t>20251231</t>
  </si>
  <si>
    <t>20250930</t>
  </si>
  <si>
    <t>20250829</t>
  </si>
  <si>
    <t>20251130</t>
  </si>
  <si>
    <t>그룹코드</t>
  </si>
  <si>
    <t>0001</t>
  </si>
  <si>
    <t>0003</t>
  </si>
  <si>
    <t>그룹명</t>
  </si>
  <si>
    <t>내부무료</t>
  </si>
  <si>
    <t>외부유료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</si>
  <si>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</si>
  <si>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</si>
  <si>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</si>
  <si>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</si>
  <si>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</si>
  <si>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</si>
  <si>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</si>
  <si>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</si>
  <si>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</si>
  <si>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</si>
  <si>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박호근1</t>
  </si>
  <si>
    <t>박호근2</t>
  </si>
  <si>
    <t>최시애</t>
  </si>
  <si>
    <t>김혜연</t>
  </si>
  <si>
    <t>오권석</t>
  </si>
  <si>
    <t>오윤석1</t>
  </si>
  <si>
    <t>오윤석2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</si>
  <si>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</si>
  <si>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</si>
  <si>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</si>
  <si>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</si>
  <si>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</si>
  <si>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</si>
  <si>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</si>
  <si>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</si>
  <si>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</si>
  <si>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김영수1</t>
  </si>
  <si>
    <t>김영수2</t>
  </si>
  <si>
    <t>김성태</t>
  </si>
  <si>
    <t>박상용1</t>
  </si>
  <si>
    <t>박상용2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</si>
  <si>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</si>
  <si>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</si>
  <si>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</si>
  <si>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</si>
  <si>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</si>
  <si>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</si>
  <si>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</si>
  <si>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</si>
  <si>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</si>
  <si>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케이에스피</t>
  </si>
  <si>
    <t>한일단조1</t>
  </si>
  <si>
    <t>한일단조2</t>
  </si>
  <si>
    <t>한일단조3</t>
  </si>
  <si>
    <t>대명볼트</t>
  </si>
  <si>
    <t>효림HF</t>
  </si>
  <si>
    <t>유림철강1</t>
  </si>
  <si>
    <t>유림철강2</t>
  </si>
  <si>
    <t>유림철강3</t>
  </si>
  <si>
    <t>유림철강4</t>
  </si>
  <si>
    <t>유림철강5</t>
  </si>
  <si>
    <t>태성금속1</t>
  </si>
  <si>
    <t>태성금속2</t>
  </si>
  <si>
    <t>한진1</t>
  </si>
  <si>
    <t>한진2</t>
  </si>
  <si>
    <t>한진3</t>
  </si>
  <si>
    <t>태연산업2</t>
  </si>
  <si>
    <t>현대기공1</t>
  </si>
  <si>
    <t>현대기공2</t>
  </si>
  <si>
    <t>디와이메탈1</t>
  </si>
  <si>
    <t>디와이메탈2</t>
  </si>
  <si>
    <t>동아IND</t>
  </si>
  <si>
    <t>대호정공</t>
  </si>
  <si>
    <t>성동산업</t>
  </si>
  <si>
    <t>한울철강1</t>
  </si>
  <si>
    <t>한울철강2</t>
  </si>
  <si>
    <t>한울철강3</t>
  </si>
  <si>
    <t>서경금속</t>
  </si>
  <si>
    <t>신화산업1</t>
  </si>
  <si>
    <t>신화산업2</t>
  </si>
  <si>
    <t>화성베어링</t>
  </si>
  <si>
    <t>유건정밀</t>
  </si>
  <si>
    <t>SFC페인트</t>
  </si>
  <si>
    <t>한국산업1</t>
  </si>
  <si>
    <t>한국산업2</t>
  </si>
  <si>
    <t>금우기공</t>
  </si>
  <si>
    <t>신화테크</t>
  </si>
  <si>
    <t>신일(사천)1</t>
  </si>
  <si>
    <t>신일(사천)2</t>
  </si>
  <si>
    <t>삼육비철</t>
  </si>
  <si>
    <t>대흥기계단조</t>
  </si>
  <si>
    <t>부성기공2</t>
  </si>
  <si>
    <t>유영 파이프</t>
  </si>
  <si>
    <t>동성캐스탑1</t>
  </si>
  <si>
    <t>동성캐스탑2</t>
  </si>
  <si>
    <t>신아산업</t>
  </si>
  <si>
    <t>우진기어1</t>
  </si>
  <si>
    <t>우진기어2</t>
  </si>
  <si>
    <t>창원건드릴1</t>
  </si>
  <si>
    <t>창원건드릴2</t>
  </si>
  <si>
    <t>케이엠티티1</t>
  </si>
  <si>
    <t>케이엠티티2</t>
  </si>
  <si>
    <t>금구1</t>
  </si>
  <si>
    <t>금구2</t>
  </si>
  <si>
    <t>대신윤활유</t>
  </si>
  <si>
    <t>오전무 유림철강</t>
  </si>
  <si>
    <t>한록기공사장님</t>
  </si>
  <si>
    <t>한록기공 부장님</t>
  </si>
  <si>
    <t>대신윤활유3</t>
  </si>
  <si>
    <t>한울철강5</t>
  </si>
  <si>
    <t>금양고철1</t>
  </si>
  <si>
    <t>금양고철2</t>
  </si>
  <si>
    <t>이스턴1</t>
  </si>
  <si>
    <t>이스턴2</t>
  </si>
  <si>
    <t>이엔에스티 1</t>
  </si>
  <si>
    <t>볼보 염현우과장</t>
  </si>
  <si>
    <t>커리어넷 유흥식소</t>
  </si>
  <si>
    <t>우성기계 이창우대</t>
  </si>
  <si>
    <t>이즈파크 손성호대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</si>
  <si>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</si>
  <si>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</si>
  <si>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</si>
  <si>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</si>
  <si>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</si>
  <si>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</si>
  <si>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서경금속2</t>
  </si>
  <si>
    <t>태연정공2</t>
  </si>
  <si>
    <t>알파2</t>
  </si>
  <si>
    <t>이엔에스티</t>
  </si>
  <si>
    <t>에스에이치팩</t>
  </si>
  <si>
    <t>볼보 임동근과장</t>
  </si>
  <si>
    <t>볼보 박경현부장</t>
  </si>
  <si>
    <t>영진주물</t>
  </si>
  <si>
    <t>이미영 부장님</t>
  </si>
  <si>
    <t>대흥기계</t>
  </si>
  <si>
    <t>이즈파크</t>
  </si>
  <si>
    <t>한록기공 2</t>
  </si>
  <si>
    <t>한국산업 납품차</t>
  </si>
  <si>
    <t>대신윤활유 2</t>
  </si>
  <si>
    <t>볼보 강정윤 부장</t>
  </si>
  <si>
    <t>성동산업 납품차</t>
  </si>
  <si>
    <t>볼보 김재원 팀장</t>
  </si>
  <si>
    <t>이엔에스티 4</t>
  </si>
  <si>
    <t>디자인오투</t>
  </si>
  <si>
    <t>디자인오투 2</t>
  </si>
  <si>
    <t>컴프로</t>
  </si>
  <si>
    <t>한국산업 2</t>
  </si>
  <si>
    <t>한일단조 손직현 기사</t>
  </si>
  <si>
    <t>서창렬</t>
  </si>
  <si>
    <t>강원근 5</t>
  </si>
  <si>
    <t>원창단조3</t>
  </si>
  <si>
    <t>정경태 3</t>
  </si>
  <si>
    <t>디원 전재홍 상무</t>
  </si>
  <si>
    <t>양현진</t>
  </si>
  <si>
    <t>동광</t>
  </si>
  <si>
    <t>정경태 2</t>
  </si>
  <si>
    <t>왕성산업</t>
  </si>
  <si>
    <t>부성기공1</t>
  </si>
  <si>
    <t>김영훈</t>
  </si>
  <si>
    <t>우성기계</t>
  </si>
  <si>
    <t>우성</t>
  </si>
  <si>
    <t>한국산업용차</t>
  </si>
  <si>
    <t>김주익</t>
  </si>
  <si>
    <t>엔포스</t>
  </si>
  <si>
    <t>알파 납품</t>
  </si>
  <si>
    <t>연락처</t>
  </si>
  <si>
    <t>차종</t>
  </si>
  <si>
    <t>색상</t>
  </si>
  <si>
    <t>업체</t>
  </si>
  <si>
    <t>부서</t>
  </si>
  <si>
    <t>없음</t>
  </si>
  <si>
    <t>비고</t>
  </si>
  <si>
    <t>주소</t>
    <phoneticPr fontId="2" type="noConversion"/>
  </si>
  <si>
    <t>왕복</t>
    <phoneticPr fontId="2" type="noConversion"/>
  </si>
  <si>
    <t>승용</t>
    <phoneticPr fontId="2" type="noConversion"/>
  </si>
  <si>
    <t>SUV</t>
    <phoneticPr fontId="2" type="noConversion"/>
  </si>
  <si>
    <t>트럭</t>
    <phoneticPr fontId="2" type="noConversion"/>
  </si>
  <si>
    <t>현대정밀</t>
    <phoneticPr fontId="2" type="noConversion"/>
  </si>
  <si>
    <t>경남 창원시 마산합포구 삼호로 13</t>
    <phoneticPr fontId="2" type="noConversion"/>
  </si>
  <si>
    <t>경남 함안군 칠원면 용산리 271-6</t>
    <phoneticPr fontId="2" type="noConversion"/>
  </si>
  <si>
    <t>경남 함안군 법수면 장백로 513</t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</si>
  <si>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마산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회원구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봉암공단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</si>
  <si>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</si>
  <si>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</si>
  <si>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>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</si>
  <si>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t>경남 창원시 마산합포구 산단2길 66</t>
    <phoneticPr fontId="2" type="noConversion"/>
  </si>
  <si>
    <r>
      <rPr>
        <sz val="11"/>
        <color theme="1"/>
        <rFont val="맑은 고딕"/>
        <family val="3"/>
        <charset val="129"/>
      </rP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</si>
  <si>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함안군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칠원읍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용산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</si>
  <si>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 xml:space="preserve"> 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</si>
  <si>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</si>
  <si>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</si>
  <si>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</si>
  <si>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</si>
  <si>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창원시 월림로39번길 12-11</t>
    <phoneticPr fontId="2" type="noConversion"/>
  </si>
  <si>
    <t>(주)케이에스피</t>
    <phoneticPr fontId="2" type="noConversion"/>
  </si>
  <si>
    <t>경남 창원시 마산회원구 봉암공단5길 42-25</t>
    <phoneticPr fontId="2" type="noConversion"/>
  </si>
  <si>
    <t>경남 창원시 마산합포구 진북면 산단2길 46-45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</si>
  <si>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</si>
  <si>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</si>
  <si>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</si>
  <si>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</si>
  <si>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</si>
  <si>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</si>
  <si>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</si>
  <si>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</si>
  <si>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</si>
  <si>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영진주물</t>
    <phoneticPr fontId="2" type="noConversion"/>
  </si>
  <si>
    <t>성동산업</t>
    <phoneticPr fontId="2" type="noConversion"/>
  </si>
  <si>
    <t>한일단조</t>
    <phoneticPr fontId="2" type="noConversion"/>
  </si>
  <si>
    <t>원창단조</t>
    <phoneticPr fontId="2" type="noConversion"/>
  </si>
  <si>
    <t>한국산업</t>
    <phoneticPr fontId="2" type="noConversion"/>
  </si>
  <si>
    <t>동광정밀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</si>
  <si>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</si>
  <si>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</si>
  <si>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</si>
  <si>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</si>
  <si>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금구</t>
    <phoneticPr fontId="2" type="noConversion"/>
  </si>
  <si>
    <t>납품</t>
    <phoneticPr fontId="2" type="noConversion"/>
  </si>
  <si>
    <t>직원</t>
    <phoneticPr fontId="2" type="noConversion"/>
  </si>
  <si>
    <t>김치욱</t>
    <phoneticPr fontId="2" type="noConversion"/>
  </si>
  <si>
    <t>최시애2</t>
    <phoneticPr fontId="2" type="noConversion"/>
  </si>
  <si>
    <t>커리어넷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</si>
  <si>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두량공단로</t>
    </r>
    <r>
      <rPr>
        <sz val="11"/>
        <color theme="1"/>
        <rFont val="Calibri"/>
        <family val="2"/>
        <scheme val="minor"/>
      </rPr>
      <t>41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</si>
  <si>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축동면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가산리</t>
    </r>
    <r>
      <rPr>
        <sz val="11"/>
        <color theme="1"/>
        <rFont val="Calibri"/>
        <family val="2"/>
        <scheme val="minor"/>
      </rPr>
      <t xml:space="preserve"> 244-2</t>
    </r>
    <phoneticPr fontId="2" type="noConversion"/>
  </si>
  <si>
    <r>
      <t>인천광역시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정서진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14 (</t>
    </r>
    <r>
      <rPr>
        <sz val="11"/>
        <color theme="1"/>
        <rFont val="돋움"/>
        <family val="3"/>
        <charset val="129"/>
        <scheme val="minor"/>
      </rPr>
      <t>오류동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</si>
  <si>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사상구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강변대로</t>
    </r>
    <r>
      <rPr>
        <sz val="11"/>
        <color theme="1"/>
        <rFont val="Calibri"/>
        <family val="2"/>
        <scheme val="minor"/>
      </rPr>
      <t xml:space="preserve"> 532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55(</t>
    </r>
    <r>
      <rPr>
        <sz val="11"/>
        <color theme="1"/>
        <rFont val="돋움"/>
        <family val="3"/>
        <charset val="129"/>
        <scheme val="minor"/>
      </rPr>
      <t>엄궁동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</si>
  <si>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50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</si>
  <si>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 xml:space="preserve"> 209-6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</si>
  <si>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김해시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진영읍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하계로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17-16</t>
    </r>
    <phoneticPr fontId="2" type="noConversion"/>
  </si>
  <si>
    <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 xml:space="preserve"> 60, </t>
    </r>
    <r>
      <rPr>
        <sz val="11"/>
        <color theme="1"/>
        <rFont val="돋움"/>
        <family val="3"/>
        <charset val="129"/>
        <scheme val="minor"/>
      </rPr>
      <t>에이동</t>
    </r>
    <r>
      <rPr>
        <sz val="11"/>
        <color theme="1"/>
        <rFont val="Calibri"/>
        <family val="2"/>
        <scheme val="minor"/>
      </rPr>
      <t xml:space="preserve"> 101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</si>
  <si>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 xml:space="preserve"> 16-1 </t>
    </r>
    <r>
      <rPr>
        <sz val="11"/>
        <color theme="1"/>
        <rFont val="돋움"/>
        <family val="3"/>
        <charset val="129"/>
        <scheme val="minor"/>
      </rPr>
      <t>기계공구상가</t>
    </r>
    <r>
      <rPr>
        <sz val="11"/>
        <color theme="1"/>
        <rFont val="Calibri"/>
        <family val="2"/>
        <scheme val="minor"/>
      </rPr>
      <t xml:space="preserve"> 152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</si>
  <si>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</si>
  <si>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경상남도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합포로</t>
    </r>
    <r>
      <rPr>
        <sz val="11"/>
        <color theme="1"/>
        <rFont val="Calibri"/>
        <family val="2"/>
        <scheme val="minor"/>
      </rPr>
      <t xml:space="preserve"> 250(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</si>
  <si>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귀현동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돋움"/>
        <family val="3"/>
        <charset val="129"/>
        <scheme val="minor"/>
      </rPr>
      <t>번지</t>
    </r>
    <phoneticPr fontId="2" type="noConversion"/>
  </si>
  <si>
    <r>
      <t>서울시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구로구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디지털로</t>
    </r>
    <r>
      <rPr>
        <sz val="11"/>
        <color theme="1"/>
        <rFont val="Calibri"/>
        <family val="2"/>
        <scheme val="minor"/>
      </rPr>
      <t xml:space="preserve"> 273 205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</si>
  <si>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경기도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파주시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월롱면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홀작로</t>
    </r>
    <r>
      <rPr>
        <sz val="11"/>
        <color theme="1"/>
        <rFont val="Calibri"/>
        <family val="2"/>
        <scheme val="minor"/>
      </rPr>
      <t xml:space="preserve"> 70-113 (</t>
    </r>
    <r>
      <rPr>
        <sz val="11"/>
        <color theme="1"/>
        <rFont val="돋움"/>
        <family val="3"/>
        <charset val="129"/>
        <scheme val="minor"/>
      </rPr>
      <t>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</si>
  <si>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완암로</t>
    </r>
    <r>
      <rPr>
        <sz val="11"/>
        <color theme="1"/>
        <rFont val="Calibri"/>
        <family val="2"/>
        <scheme val="minor"/>
      </rPr>
      <t xml:space="preserve"> 50 806(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돋움"/>
        <family val="3"/>
        <charset val="129"/>
        <scheme val="minor"/>
      </rPr>
      <t>창원에스케이테크노파크넥스동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</si>
  <si>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남구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신선로</t>
    </r>
    <r>
      <rPr>
        <sz val="11"/>
        <color theme="1"/>
        <rFont val="Calibri"/>
        <family val="2"/>
        <scheme val="minor"/>
      </rPr>
      <t xml:space="preserve"> 365, </t>
    </r>
    <r>
      <rPr>
        <sz val="11"/>
        <color theme="1"/>
        <rFont val="돋움"/>
        <family val="3"/>
        <charset val="129"/>
        <scheme val="minor"/>
      </rPr>
      <t>한미르관</t>
    </r>
    <r>
      <rPr>
        <sz val="11"/>
        <color theme="1"/>
        <rFont val="Calibri"/>
        <family val="2"/>
        <scheme val="minor"/>
      </rPr>
      <t xml:space="preserve"> 1608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돋움"/>
        <family val="3"/>
        <charset val="129"/>
        <scheme val="minor"/>
      </rPr>
      <t>용당동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부경대학교용당캠퍼스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</si>
  <si>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8</t>
    </r>
    <phoneticPr fontId="2" type="noConversion"/>
  </si>
  <si>
    <r>
      <t>부산시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녹산산단</t>
    </r>
    <r>
      <rPr>
        <sz val="11"/>
        <color theme="1"/>
        <rFont val="Calibri"/>
        <family val="2"/>
        <scheme val="minor"/>
      </rPr>
      <t xml:space="preserve"> 381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86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43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</si>
  <si>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</si>
  <si>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t>충북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진천군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덕산면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습지길</t>
    </r>
    <r>
      <rPr>
        <sz val="11"/>
        <color theme="1"/>
        <rFont val="Calibri"/>
        <family val="2"/>
        <scheme val="minor"/>
      </rPr>
      <t xml:space="preserve"> 87</t>
    </r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</si>
  <si>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</si>
  <si>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</si>
  <si>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</si>
  <si>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</si>
  <si>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</si>
  <si>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</si>
  <si>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</si>
  <si>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</si>
  <si>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</si>
  <si>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</si>
  <si>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</si>
  <si>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</si>
  <si>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</si>
  <si>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</si>
  <si>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</si>
  <si>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</si>
  <si>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</si>
  <si>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</si>
  <si>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</si>
  <si>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SM5 LPG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</si>
  <si>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</si>
  <si>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</si>
  <si>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</si>
  <si>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</si>
  <si>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</si>
  <si>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</si>
  <si>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</si>
  <si>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</si>
  <si>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</si>
  <si>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</si>
  <si>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</si>
  <si>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정보없음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</si>
  <si>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</si>
  <si>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</si>
  <si>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</si>
  <si>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</si>
  <si>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</si>
  <si>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</si>
  <si>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</si>
  <si>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</si>
  <si>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</si>
  <si>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</si>
  <si>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</si>
  <si>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</si>
  <si>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</si>
  <si>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</si>
  <si>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</si>
  <si>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</si>
  <si>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</si>
  <si>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렉서스 LS500h AWD (하이브리드)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</si>
  <si>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</si>
  <si>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</si>
  <si>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</si>
  <si>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</si>
  <si>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</si>
  <si>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</si>
  <si>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</si>
  <si>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</si>
  <si>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</si>
  <si>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</si>
  <si>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</si>
  <si>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</si>
  <si>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63</t>
    </r>
    <r>
      <rPr>
        <sz val="11"/>
        <color theme="1"/>
        <rFont val="맑은 고딕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2956</t>
    </r>
    <phoneticPr fontId="2" type="noConversion"/>
  </si>
  <si>
    <t>Golf 2.0 GTI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</si>
  <si>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</si>
  <si>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</si>
  <si>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</si>
  <si>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</si>
  <si>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</si>
  <si>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</si>
  <si>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</si>
  <si>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</si>
  <si>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</si>
  <si>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</si>
  <si>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 xml:space="preserve"> 120-5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</si>
  <si>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북면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단내로</t>
    </r>
    <r>
      <rPr>
        <sz val="11"/>
        <color theme="1"/>
        <rFont val="Calibri"/>
        <family val="2"/>
        <scheme val="minor"/>
      </rPr>
      <t xml:space="preserve"> 765-13</t>
    </r>
    <phoneticPr fontId="2" type="noConversion"/>
  </si>
  <si>
    <t>강원도 횡성군 우천면 우천산업단지로 60-54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</si>
  <si>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소계동</t>
    </r>
    <r>
      <rPr>
        <sz val="11"/>
        <color theme="1"/>
        <rFont val="Calibri"/>
        <family val="2"/>
        <scheme val="minor"/>
      </rPr>
      <t xml:space="preserve"> 130-83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</si>
  <si>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</si>
  <si>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17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</si>
  <si>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정촌면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뿌리산단로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95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</si>
  <si>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>62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5-14(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케이티메탈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</si>
  <si>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 77-1 SK</t>
    </r>
    <r>
      <rPr>
        <sz val="11"/>
        <color theme="1"/>
        <rFont val="돋움"/>
        <family val="3"/>
        <charset val="129"/>
        <scheme val="minor"/>
      </rPr>
      <t>테크노파크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메카동</t>
    </r>
    <r>
      <rPr>
        <sz val="11"/>
        <color theme="1"/>
        <rFont val="Calibri"/>
        <family val="2"/>
        <scheme val="minor"/>
      </rPr>
      <t xml:space="preserve"> 102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</si>
  <si>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사남면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공단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23-9</t>
    </r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</si>
  <si>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</si>
  <si>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</si>
  <si>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</si>
  <si>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</si>
  <si>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</si>
  <si>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</si>
  <si>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</si>
  <si>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</si>
  <si>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</si>
  <si>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</si>
  <si>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</si>
  <si>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</si>
  <si>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</si>
  <si>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</si>
  <si>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</si>
  <si>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</si>
  <si>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</si>
  <si>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</si>
  <si>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</si>
  <si>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</si>
  <si>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</si>
  <si>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</si>
  <si>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</si>
  <si>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</si>
  <si>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</si>
  <si>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</si>
  <si>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</si>
  <si>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</si>
  <si>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</si>
  <si>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</si>
  <si>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</si>
  <si>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</si>
  <si>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</si>
  <si>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</si>
  <si>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</si>
  <si>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</si>
  <si>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</si>
  <si>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</si>
  <si>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</si>
  <si>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</si>
  <si>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</si>
  <si>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</si>
  <si>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</si>
  <si>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</si>
  <si>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</si>
  <si>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</si>
  <si>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</si>
  <si>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</si>
  <si>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</si>
  <si>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</si>
  <si>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</si>
  <si>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</si>
  <si>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</si>
  <si>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</si>
  <si>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</si>
  <si>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</si>
  <si>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</si>
  <si>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</si>
  <si>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</si>
  <si>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</si>
  <si>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</si>
  <si>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</si>
  <si>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</si>
  <si>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</si>
  <si>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</si>
  <si>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</si>
  <si>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</si>
  <si>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</si>
  <si>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</si>
  <si>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</si>
  <si>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</si>
  <si>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</si>
  <si>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</si>
  <si>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</si>
  <si>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</si>
  <si>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</si>
  <si>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</si>
  <si>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</si>
  <si>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</si>
  <si>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</si>
  <si>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</si>
  <si>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</si>
  <si>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</si>
  <si>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</si>
  <si>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</si>
  <si>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</si>
  <si>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</si>
  <si>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</si>
  <si>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</si>
  <si>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</si>
  <si>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</si>
  <si>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</si>
  <si>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</si>
  <si>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</si>
  <si>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</si>
  <si>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</si>
  <si>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</si>
  <si>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</si>
  <si>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</si>
  <si>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</si>
  <si>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</si>
  <si>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</si>
  <si>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</si>
  <si>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</si>
  <si>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</si>
  <si>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</si>
  <si>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</si>
  <si>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</si>
  <si>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</si>
  <si>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</si>
  <si>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</si>
  <si>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</si>
  <si>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</si>
  <si>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</si>
  <si>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</si>
  <si>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</si>
  <si>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</si>
  <si>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</si>
  <si>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</si>
  <si>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</si>
  <si>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</si>
  <si>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</si>
  <si>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</si>
  <si>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</si>
  <si>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</si>
  <si>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</si>
  <si>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</si>
  <si>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</si>
  <si>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</si>
  <si>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</si>
  <si>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</si>
  <si>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</si>
  <si>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</si>
  <si>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</si>
  <si>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</si>
  <si>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</si>
  <si>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</si>
  <si>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</si>
  <si>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</si>
  <si>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</si>
  <si>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</si>
  <si>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</si>
  <si>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</si>
  <si>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</si>
  <si>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</si>
  <si>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주조</t>
    <phoneticPr fontId="2" type="noConversion"/>
  </si>
  <si>
    <t>구매</t>
    <phoneticPr fontId="2" type="noConversion"/>
  </si>
  <si>
    <r>
      <t>R</t>
    </r>
    <r>
      <rPr>
        <sz val="11"/>
        <color theme="1"/>
        <rFont val="Calibri"/>
        <family val="2"/>
        <scheme val="minor"/>
      </rPr>
      <t>OD</t>
    </r>
    <phoneticPr fontId="2" type="noConversion"/>
  </si>
  <si>
    <t>Grease Valve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</si>
  <si>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over End</t>
    </r>
    <phoneticPr fontId="2" type="noConversion"/>
  </si>
  <si>
    <t>Head Rod</t>
    <phoneticPr fontId="2" type="noConversion"/>
  </si>
  <si>
    <r>
      <t>D</t>
    </r>
    <r>
      <rPr>
        <sz val="11"/>
        <color theme="1"/>
        <rFont val="Calibri"/>
        <family val="2"/>
        <scheme val="minor"/>
      </rPr>
      <t>ust Seal</t>
    </r>
    <phoneticPr fontId="2" type="noConversion"/>
  </si>
  <si>
    <t>Cover End</t>
    <phoneticPr fontId="2" type="noConversion"/>
  </si>
  <si>
    <t>Flange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</si>
  <si>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ylinder Body</t>
    </r>
    <phoneticPr fontId="2" type="noConversion"/>
  </si>
  <si>
    <t>Rod</t>
    <phoneticPr fontId="2" type="noConversion"/>
  </si>
  <si>
    <r>
      <t>P</t>
    </r>
    <r>
      <rPr>
        <sz val="11"/>
        <color theme="1"/>
        <rFont val="Calibri"/>
        <family val="2"/>
        <scheme val="minor"/>
      </rPr>
      <t>iston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</si>
  <si>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hell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</si>
  <si>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olt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</si>
  <si>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teer Axle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</si>
  <si>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racket</t>
    </r>
    <phoneticPr fontId="2" type="noConversion"/>
  </si>
  <si>
    <t>Idler assy</t>
    <phoneticPr fontId="2" type="noConversion"/>
  </si>
  <si>
    <r>
      <t>N</t>
    </r>
    <r>
      <rPr>
        <sz val="11"/>
        <color theme="1"/>
        <rFont val="Calibri"/>
        <family val="2"/>
        <scheme val="minor"/>
      </rPr>
      <t>ut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</si>
  <si>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ush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</si>
  <si>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haft</t>
    </r>
    <phoneticPr fontId="2" type="noConversion"/>
  </si>
  <si>
    <t>Shaft</t>
    <phoneticPr fontId="2" type="noConversion"/>
  </si>
  <si>
    <t>Bracket</t>
    <phoneticPr fontId="2" type="noConversion"/>
  </si>
  <si>
    <t>Yoke</t>
    <phoneticPr fontId="2" type="noConversion"/>
  </si>
  <si>
    <t>Nipple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</si>
  <si>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</si>
  <si>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</si>
  <si>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</si>
  <si>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</si>
  <si>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</si>
  <si>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</si>
  <si>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</si>
  <si>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</si>
  <si>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</si>
  <si>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</si>
  <si>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</si>
  <si>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</si>
  <si>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</si>
  <si>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</si>
  <si>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</si>
  <si>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</si>
  <si>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생산
공정</t>
    <phoneticPr fontId="2" type="noConversion"/>
  </si>
  <si>
    <t>생산
제품
1</t>
    <phoneticPr fontId="2" type="noConversion"/>
  </si>
  <si>
    <t>생산
제품
2</t>
    <phoneticPr fontId="2" type="noConversion"/>
  </si>
  <si>
    <t>생산
제품
3</t>
    <phoneticPr fontId="2" type="noConversion"/>
  </si>
  <si>
    <t>운행
구분</t>
    <phoneticPr fontId="2" type="noConversion"/>
  </si>
  <si>
    <t>탄소
배출
계수</t>
    <phoneticPr fontId="2" type="noConversion"/>
  </si>
  <si>
    <t>선택
요일제</t>
    <phoneticPr fontId="2" type="noConversion"/>
  </si>
  <si>
    <t>출차
홈넷</t>
    <phoneticPr fontId="2" type="noConversion"/>
  </si>
  <si>
    <t>입차
홈넷</t>
    <phoneticPr fontId="2" type="noConversion"/>
  </si>
  <si>
    <t>연비
(ℓ/km)</t>
    <phoneticPr fontId="2" type="noConversion"/>
  </si>
  <si>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</si>
  <si>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</si>
  <si>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</si>
  <si>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</si>
  <si>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</si>
  <si>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</si>
  <si>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</si>
  <si>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</si>
  <si>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</si>
  <si>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</si>
  <si>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</si>
  <si>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>51</t>
    </r>
    <r>
      <rPr>
        <sz val="11"/>
        <color theme="1"/>
        <rFont val="맑은 고딕"/>
        <family val="3"/>
        <charset val="129"/>
        <scheme val="minor"/>
      </rPr>
      <t>너</t>
    </r>
    <r>
      <rPr>
        <sz val="11"/>
        <color theme="1"/>
        <rFont val="Calibri"/>
        <family val="2"/>
        <scheme val="minor"/>
      </rPr>
      <t>7478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</si>
  <si>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</si>
  <si>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</si>
  <si>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</si>
  <si>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 </t>
    </r>
    <r>
      <rPr>
        <sz val="11"/>
        <color theme="1"/>
        <rFont val="맑은 고딕"/>
        <family val="2"/>
        <charset val="129"/>
      </rPr>
      <t xml:space="preserve">벤츠 </t>
    </r>
    <r>
      <rPr>
        <sz val="11"/>
        <color theme="1"/>
        <rFont val="Calibri"/>
        <family val="2"/>
        <scheme val="minor"/>
      </rPr>
      <t>C200 d (</t>
    </r>
    <r>
      <rPr>
        <sz val="11"/>
        <color theme="1"/>
        <rFont val="맑은 고딕"/>
        <family val="2"/>
        <charset val="129"/>
      </rPr>
      <t>디젤)</t>
    </r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</si>
  <si>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</si>
  <si>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</si>
  <si>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</si>
  <si>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</si>
  <si>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</si>
  <si>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</si>
  <si>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</si>
  <si>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주소(생략)</t>
    <phoneticPr fontId="2" type="noConversion"/>
  </si>
  <si>
    <t>기타</t>
    <phoneticPr fontId="2" type="noConversion"/>
  </si>
  <si>
    <t>경남 진주시 진성면 동부로 1574-27</t>
    <phoneticPr fontId="2" type="noConversion"/>
  </si>
  <si>
    <t>금양고철</t>
    <phoneticPr fontId="2" type="noConversion"/>
  </si>
  <si>
    <t>태연산업3</t>
    <phoneticPr fontId="2" type="noConversion"/>
  </si>
  <si>
    <t>가공</t>
    <phoneticPr fontId="2" type="noConversion"/>
  </si>
  <si>
    <t>경남 사천시 사남면 공단1로 23-9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</si>
  <si>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</si>
  <si>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</si>
  <si>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</si>
  <si>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</si>
  <si>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Cylinder Body</t>
    <phoneticPr fontId="2" type="noConversion"/>
  </si>
  <si>
    <t>Support</t>
    <phoneticPr fontId="2" type="noConversion"/>
  </si>
  <si>
    <t>폐기</t>
    <phoneticPr fontId="2" type="noConversion"/>
  </si>
  <si>
    <t>Clark-Cylinder</t>
    <phoneticPr fontId="2" type="noConversion"/>
  </si>
  <si>
    <t>부산 강서구 송정동 1578-2</t>
    <phoneticPr fontId="2" type="noConversion"/>
  </si>
  <si>
    <t>창원시 마산합포구 산호동 204-22</t>
    <phoneticPr fontId="2" type="noConversion"/>
  </si>
  <si>
    <t>창원대 알파</t>
    <phoneticPr fontId="2" type="noConversion"/>
  </si>
  <si>
    <t>ROD</t>
    <phoneticPr fontId="2" type="noConversion"/>
  </si>
  <si>
    <t>경남 창원시 의창구 창원대로 400</t>
    <phoneticPr fontId="2" type="noConversion"/>
  </si>
  <si>
    <t>경남 창원시 의창구 퇴촌로 21</t>
    <phoneticPr fontId="2" type="noConversion"/>
  </si>
  <si>
    <t>경남 창원시 마산회원구 봉암공단12길 71</t>
    <phoneticPr fontId="2" type="noConversion"/>
  </si>
  <si>
    <t>경남 창원시 성산구 용지로 169번길 13, 306호</t>
  </si>
  <si>
    <t>경남 창원시 의창구 창원대로 18번길 46</t>
    <phoneticPr fontId="2" type="noConversion"/>
  </si>
  <si>
    <t>경남 창원시 성산구 성산패총로 86</t>
    <phoneticPr fontId="2" type="noConversion"/>
  </si>
  <si>
    <t>경남 창원시 성산구 중앙대로 105, stx 오션타워 18층</t>
    <phoneticPr fontId="2" type="noConversion"/>
  </si>
  <si>
    <t>경남 창원시 성산구 마디미로 23 C&amp;B빌딩 10층</t>
    <phoneticPr fontId="2" type="noConversion"/>
  </si>
  <si>
    <t>경기 파주시 월롱면 홀작로 70-113</t>
    <phoneticPr fontId="2" type="noConversion"/>
  </si>
  <si>
    <t>경남 창원시 성산구 완암로 50, SK테크노파크 넥스동 806호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</si>
</sst>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1"/>
      <color theme="1"/>
      <name val="굴림"/>
      <family val="2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359338" y="369234"/>
          <a:ext cx="10101841" cy="16899674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66675</xdr:rowOff>
    </xdr:from>
    <xdr:to>
      <xdr:col>17</xdr:col>
      <xdr:colOff>220494</xdr:colOff>
      <xdr:row>84</xdr:row>
      <xdr:rowOff>134553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57175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dimension ref="A1:AG168"/>
  <sheetViews>
    <sheetView tabSelected="1" zoomScaleNormal="100" workbookViewId="0">
      <pane ySplit="1" topLeftCell="A2" activePane="bottomLeft" state="frozen"/>
      <selection pane="bottomLeft" activeCell="V12" sqref="V12"/>
    </sheetView>
  </sheetViews>
  <sheetFormatPr defaultColWidth="9.28515625" defaultRowHeight="15" x14ac:dyDescent="0.25"/>
  <cols>
    <col min="1" max="1" width="10.5703125" style="38" bestFit="1" customWidth="1"/>
    <col min="2" max="2" width="14.5703125" style="38" bestFit="1" customWidth="1"/>
    <col min="3" max="6" width="9.28515625" style="38" customWidth="1"/>
    <col min="7" max="7" width="27.5703125" style="38" customWidth="1"/>
    <col min="8" max="10" width="9.28515625" style="38" hidden="1" customWidth="1"/>
    <col min="11" max="11" width="22.28515625" style="38" bestFit="1" customWidth="1"/>
    <col min="12" max="14" width="9" style="38" hidden="1" customWidth="1"/>
    <col min="15" max="15" width="11.7109375" style="38" customWidth="1"/>
    <col min="16" max="18" width="14.140625" style="38" customWidth="1"/>
    <col min="19" max="19" width="9.28515625" style="38" customWidth="1"/>
    <col min="20" max="20" width="7.7109375" style="38" customWidth="1"/>
    <col min="21" max="21" width="9.28515625" style="38" customWidth="1"/>
    <col min="22" max="22" width="22.7109375" style="54" customWidth="1"/>
    <col min="23" max="23" width="18.85546875" style="38" customWidth="1"/>
    <col min="24" max="26" width="6.7109375" style="38" customWidth="1"/>
    <col min="27" max="27" width="27" style="38" customWidth="1"/>
    <col min="28" max="30" width="10.28515625" style="38" customWidth="1"/>
    <col min="31" max="31" width="8.28515625" style="38" bestFit="1" customWidth="1"/>
    <col min="32" max="32" width="11.140625" style="38" bestFit="1" customWidth="1"/>
    <col min="33" max="33" width="13.85546875" style="38" customWidth="1"/>
    <col min="34" max="16384" width="9.28515625" style="38"/>
  </cols>
  <sheetData>
    <row r="1" spans="1:33" ht="48.6" customHeight="1" x14ac:dyDescent="0.25">
      <c r="A1" s="30" t="s">
        <v>0</v>
      </c>
      <c r="B1" s="31" t="s">
        <v>1</v>
      </c>
      <c r="C1" s="31" t="s">
        <v>159</v>
      </c>
      <c r="D1" s="31" t="s">
        <v>184</v>
      </c>
      <c r="E1" s="31" t="s">
        <v>192</v>
      </c>
      <c r="F1" s="31" t="s">
        <v>195</v>
      </c>
      <c r="G1" s="31" t="s">
        <v>198</v>
      </c>
      <c r="H1" s="31" t="s">
        <v>353</v>
      </c>
      <c r="I1" s="31" t="s">
        <v>354</v>
      </c>
      <c r="J1" s="31" t="s">
        <v>355</v>
      </c>
      <c r="K1" s="31" t="s">
        <v>356</v>
      </c>
      <c r="L1" s="49" t="s">
        <v>707</v>
      </c>
      <c r="M1" s="49" t="s">
        <v>706</v>
      </c>
      <c r="N1" s="49" t="s">
        <v>705</v>
      </c>
      <c r="O1" s="32" t="s">
        <v>699</v>
      </c>
      <c r="P1" s="32" t="s">
        <v>700</v>
      </c>
      <c r="Q1" s="32" t="s">
        <v>701</v>
      </c>
      <c r="R1" s="32" t="s">
        <v>702</v>
      </c>
      <c r="S1" s="31" t="s">
        <v>357</v>
      </c>
      <c r="T1" s="33" t="s">
        <v>687</v>
      </c>
      <c r="U1" s="32" t="s">
        <v>698</v>
      </c>
      <c r="V1" s="34" t="s">
        <v>360</v>
      </c>
      <c r="W1" s="34" t="s">
        <v>732</v>
      </c>
      <c r="X1" s="35" t="s">
        <v>652</v>
      </c>
      <c r="Y1" s="35" t="s">
        <v>651</v>
      </c>
      <c r="Z1" s="35" t="s">
        <v>703</v>
      </c>
      <c r="AA1" s="36" t="s">
        <v>430</v>
      </c>
      <c r="AB1" s="35" t="s">
        <v>653</v>
      </c>
      <c r="AC1" s="35" t="s">
        <v>654</v>
      </c>
      <c r="AD1" s="36" t="s">
        <v>495</v>
      </c>
      <c r="AE1" s="35" t="s">
        <v>708</v>
      </c>
      <c r="AF1" s="37" t="s">
        <v>704</v>
      </c>
      <c r="AG1" s="37" t="s">
        <v>683</v>
      </c>
    </row>
    <row r="2" spans="1:33" ht="16.5" x14ac:dyDescent="0.25">
      <c r="A2" s="41">
        <v>1</v>
      </c>
      <c r="B2" s="6" t="s">
        <v>2</v>
      </c>
      <c r="C2" s="6" t="s">
        <v>160</v>
      </c>
      <c r="D2" s="6" t="s">
        <v>185</v>
      </c>
      <c r="E2" s="6" t="s">
        <v>193</v>
      </c>
      <c r="F2" s="6" t="s">
        <v>196</v>
      </c>
      <c r="G2" s="6" t="s">
        <v>199</v>
      </c>
      <c r="H2" s="55"/>
      <c r="I2" s="55"/>
      <c r="J2" s="55"/>
      <c r="K2" s="39" t="s">
        <v>365</v>
      </c>
      <c r="L2" s="6" t="b">
        <v>0</v>
      </c>
      <c r="M2" s="6" t="b">
        <v>0</v>
      </c>
      <c r="N2" s="6" t="s">
        <v>358</v>
      </c>
      <c r="O2" s="39"/>
      <c r="P2" s="39"/>
      <c r="Q2" s="39"/>
      <c r="R2" s="39"/>
      <c r="S2" s="39" t="s">
        <v>405</v>
      </c>
      <c r="T2" s="39">
        <v>1</v>
      </c>
      <c r="U2" s="39" t="s">
        <v>405</v>
      </c>
      <c r="V2" s="53" t="s">
        <v>421</v>
      </c>
      <c r="W2" s="6"/>
      <c r="X2" s="6">
        <v>13</v>
      </c>
      <c r="Y2" s="6">
        <f t="shared" ref="Y2:Y5" si="0">X2*2</f>
        <v>26</v>
      </c>
      <c r="Z2" s="6">
        <v>13</v>
      </c>
      <c r="AA2" s="39" t="s">
        <v>472</v>
      </c>
      <c r="AB2" s="51" t="s">
        <v>729</v>
      </c>
      <c r="AC2" s="7" t="s">
        <v>730</v>
      </c>
      <c r="AD2" s="23" t="s">
        <v>499</v>
      </c>
      <c r="AE2" s="23">
        <f>IF(AB2="승용차", INDEX('연료 자료'!$C$6:$F$11, MATCH(AD2,'연료 자료'!$B$6:$B$11, 0), MATCH(AC2,'연료 자료'!$C$5:$F$5, 0)), INDEX('연료 자료'!$G$6:$I$11, MATCH(AD2,'연료 자료'!$B$6:$B$11, 0), MATCH(AC2,'연료 자료'!$G$5:$I$5, 0)))</f>
        <v>5</v>
      </c>
      <c r="AF2" s="6">
        <f>VLOOKUP(AD2, 메모!$J$10:$L$19, 3, FALSE)</f>
        <v>2.6139999999999999</v>
      </c>
      <c r="AG2" s="50">
        <f t="shared" ref="AG2" si="1">IF(Z2="왕복", Y2/AE2*AF2, X2/AE2*AF2)</f>
        <v>6.7964000000000002</v>
      </c>
    </row>
    <row r="3" spans="1:33" ht="16.5" x14ac:dyDescent="0.25">
      <c r="A3" s="41">
        <v>2</v>
      </c>
      <c r="B3" s="6" t="s">
        <v>3</v>
      </c>
      <c r="C3" s="6" t="s">
        <v>160</v>
      </c>
      <c r="D3" s="6" t="s">
        <v>185</v>
      </c>
      <c r="E3" s="6" t="s">
        <v>193</v>
      </c>
      <c r="F3" s="6" t="s">
        <v>196</v>
      </c>
      <c r="G3" s="6" t="s">
        <v>200</v>
      </c>
      <c r="H3" s="55"/>
      <c r="I3" s="55"/>
      <c r="J3" s="55"/>
      <c r="K3" s="39" t="s">
        <v>365</v>
      </c>
      <c r="L3" s="6" t="b">
        <v>0</v>
      </c>
      <c r="M3" s="6" t="b">
        <v>0</v>
      </c>
      <c r="N3" s="6" t="s">
        <v>358</v>
      </c>
      <c r="O3" s="39"/>
      <c r="P3" s="39"/>
      <c r="Q3" s="39"/>
      <c r="R3" s="39"/>
      <c r="S3" s="39" t="s">
        <v>405</v>
      </c>
      <c r="T3" s="39">
        <v>1</v>
      </c>
      <c r="U3" s="39" t="s">
        <v>405</v>
      </c>
      <c r="V3" s="53" t="s">
        <v>421</v>
      </c>
      <c r="W3" s="6"/>
      <c r="X3" s="6">
        <v>13</v>
      </c>
      <c r="Y3" s="6">
        <f t="shared" si="0"/>
        <v>26</v>
      </c>
      <c r="Z3" s="6">
        <v>13</v>
      </c>
      <c r="AA3" s="39" t="s">
        <v>455</v>
      </c>
      <c r="AB3" s="51" t="s">
        <v>729</v>
      </c>
      <c r="AC3" s="7" t="s">
        <v>731</v>
      </c>
      <c r="AD3" s="23" t="s">
        <v>499</v>
      </c>
      <c r="AE3" s="23">
        <f>IF(AB3="승용차", INDEX('연료 자료'!$C$6:$F$11, MATCH(AD3,'연료 자료'!$B$6:$B$11, 0), MATCH(AC3,'연료 자료'!$C$5:$F$5, 0)), INDEX('연료 자료'!$G$6:$I$11, MATCH(AD3,'연료 자료'!$B$6:$B$11, 0), MATCH(AC3,'연료 자료'!$G$5:$I$5, 0)))</f>
        <v>9</v>
      </c>
      <c r="AF3" s="6">
        <f>VLOOKUP(AD3, 메모!$J$10:$L$19, 3, FALSE)</f>
        <v>2.6139999999999999</v>
      </c>
      <c r="AG3" s="50">
        <f t="shared" ref="AG3:AG5" si="2">IF(Z3="왕복", Y3/AE3*AF3, X3/AE3*AF3)</f>
        <v>3.7757777777777775</v>
      </c>
    </row>
    <row r="4" spans="1:33" ht="16.5" x14ac:dyDescent="0.25">
      <c r="A4" s="41">
        <v>3</v>
      </c>
      <c r="B4" s="6" t="s">
        <v>4</v>
      </c>
      <c r="C4" s="6" t="s">
        <v>160</v>
      </c>
      <c r="D4" s="6" t="s">
        <v>185</v>
      </c>
      <c r="E4" s="6" t="s">
        <v>193</v>
      </c>
      <c r="F4" s="6" t="s">
        <v>196</v>
      </c>
      <c r="G4" s="6" t="s">
        <v>201</v>
      </c>
      <c r="H4" s="55"/>
      <c r="I4" s="55"/>
      <c r="J4" s="55"/>
      <c r="K4" s="39" t="s">
        <v>365</v>
      </c>
      <c r="L4" s="6" t="b">
        <v>0</v>
      </c>
      <c r="M4" s="6" t="b">
        <v>0</v>
      </c>
      <c r="N4" s="6" t="s">
        <v>358</v>
      </c>
      <c r="O4" s="39"/>
      <c r="P4" s="39"/>
      <c r="Q4" s="39"/>
      <c r="R4" s="39"/>
      <c r="S4" s="39" t="s">
        <v>405</v>
      </c>
      <c r="T4" s="39">
        <v>1</v>
      </c>
      <c r="U4" s="39" t="s">
        <v>405</v>
      </c>
      <c r="V4" s="53" t="s">
        <v>421</v>
      </c>
      <c r="W4" s="6"/>
      <c r="X4" s="6">
        <v>13</v>
      </c>
      <c r="Y4" s="6">
        <f t="shared" si="0"/>
        <v>26</v>
      </c>
      <c r="Z4" s="6">
        <v>13</v>
      </c>
      <c r="AA4" s="39" t="s">
        <v>472</v>
      </c>
      <c r="AB4" s="51" t="s">
        <v>729</v>
      </c>
      <c r="AC4" s="7" t="s">
        <v>730</v>
      </c>
      <c r="AD4" s="23" t="s">
        <v>499</v>
      </c>
      <c r="AE4" s="23">
        <f>IF(AB4="승용차", INDEX('연료 자료'!$C$6:$F$11, MATCH(AD4,'연료 자료'!$B$6:$B$11, 0), MATCH(AC4,'연료 자료'!$C$5:$F$5, 0)), INDEX('연료 자료'!$G$6:$I$11, MATCH(AD4,'연료 자료'!$B$6:$B$11, 0), MATCH(AC4,'연료 자료'!$G$5:$I$5, 0)))</f>
        <v>5</v>
      </c>
      <c r="AF4" s="6">
        <f>VLOOKUP(AD4, 메모!$J$10:$L$19, 3, FALSE)</f>
        <v>2.6139999999999999</v>
      </c>
      <c r="AG4" s="50">
        <f t="shared" si="2"/>
        <v>6.7964000000000002</v>
      </c>
    </row>
    <row r="5" spans="1:33" ht="16.5" x14ac:dyDescent="0.25">
      <c r="A5" s="41">
        <v>4</v>
      </c>
      <c r="B5" s="6" t="s">
        <v>5</v>
      </c>
      <c r="C5" s="6" t="s">
        <v>160</v>
      </c>
      <c r="D5" s="6" t="s">
        <v>185</v>
      </c>
      <c r="E5" s="6" t="s">
        <v>193</v>
      </c>
      <c r="F5" s="6" t="s">
        <v>196</v>
      </c>
      <c r="G5" s="6" t="s">
        <v>202</v>
      </c>
      <c r="H5" s="55"/>
      <c r="I5" s="55"/>
      <c r="J5" s="55"/>
      <c r="K5" s="39" t="s">
        <v>365</v>
      </c>
      <c r="L5" s="6" t="b">
        <v>0</v>
      </c>
      <c r="M5" s="6" t="b">
        <v>0</v>
      </c>
      <c r="N5" s="6" t="s">
        <v>358</v>
      </c>
      <c r="O5" s="39"/>
      <c r="P5" s="39"/>
      <c r="Q5" s="39"/>
      <c r="R5" s="39"/>
      <c r="S5" s="39" t="s">
        <v>405</v>
      </c>
      <c r="T5" s="39">
        <v>1</v>
      </c>
      <c r="U5" s="39" t="s">
        <v>405</v>
      </c>
      <c r="V5" s="53" t="s">
        <v>421</v>
      </c>
      <c r="W5" s="6"/>
      <c r="X5" s="6">
        <v>13</v>
      </c>
      <c r="Y5" s="6">
        <f t="shared" si="0"/>
        <v>26</v>
      </c>
      <c r="Z5" s="6">
        <v>13</v>
      </c>
      <c r="AA5" s="39" t="s">
        <v>727</v>
      </c>
      <c r="AB5" s="51" t="s">
        <v>729</v>
      </c>
      <c r="AC5" s="7" t="s">
        <v>731</v>
      </c>
      <c r="AD5" s="7" t="s">
        <v>503</v>
      </c>
      <c r="AE5" s="7">
        <f>IF(AB5="승용차", INDEX('연료 자료'!$C$6:$F$11, MATCH(AD5,'연료 자료'!$B$6:$B$11, 0), MATCH(AC5,'연료 자료'!$C$5:$F$5, 0)), INDEX('연료 자료'!$G$6:$I$11, MATCH(AD5,'연료 자료'!$B$6:$B$11, 0), MATCH(AC5,'연료 자료'!$G$5:$I$5, 0)))</f>
        <v>5</v>
      </c>
      <c r="AF5" s="6">
        <f>VLOOKUP(AD5, 메모!$J$10:$L$19, 3, FALSE)</f>
        <v>1.6</v>
      </c>
      <c r="AG5" s="50">
        <f t="shared" si="2"/>
        <v>4.16</v>
      </c>
    </row>
    <row r="6" spans="1:33" ht="18.95" customHeight="1" x14ac:dyDescent="0.25">
      <c r="A6" s="41">
        <v>8</v>
      </c>
      <c r="B6" s="40" t="s">
        <v>431</v>
      </c>
      <c r="C6" s="41" t="s">
        <v>160</v>
      </c>
      <c r="D6" s="41" t="s">
        <v>185</v>
      </c>
      <c r="E6" s="41" t="s">
        <v>193</v>
      </c>
      <c r="F6" s="41" t="s">
        <v>196</v>
      </c>
      <c r="G6" s="40" t="s">
        <v>689</v>
      </c>
      <c r="H6" s="55"/>
      <c r="I6" s="56"/>
      <c r="J6" s="55"/>
      <c r="K6" s="39" t="s">
        <v>365</v>
      </c>
      <c r="L6" s="6" t="b">
        <v>0</v>
      </c>
      <c r="M6" s="6" t="b">
        <v>0</v>
      </c>
      <c r="N6" s="6" t="s">
        <v>358</v>
      </c>
      <c r="O6" s="39"/>
      <c r="P6" s="39"/>
      <c r="Q6" s="39"/>
      <c r="R6" s="39"/>
      <c r="S6" s="39" t="s">
        <v>406</v>
      </c>
      <c r="T6" s="39">
        <v>1</v>
      </c>
      <c r="U6" s="39" t="s">
        <v>688</v>
      </c>
      <c r="V6" s="53"/>
      <c r="W6" s="39"/>
      <c r="X6" s="6">
        <v>8</v>
      </c>
      <c r="Y6" s="6">
        <f>X6*2</f>
        <v>16</v>
      </c>
      <c r="Z6" s="23" t="s">
        <v>361</v>
      </c>
      <c r="AA6" s="39" t="s">
        <v>432</v>
      </c>
      <c r="AB6" s="39" t="s">
        <v>604</v>
      </c>
      <c r="AC6" s="39" t="s">
        <v>602</v>
      </c>
      <c r="AD6" s="39" t="s">
        <v>496</v>
      </c>
      <c r="AE6" s="39">
        <f>IF(AB6="승용차", INDEX('연료 자료'!$C$6:$F$11, MATCH(AD6,'연료 자료'!$B$6:$B$11, 0), MATCH(AC6,'연료 자료'!$C$5:$F$5, 0)), INDEX('연료 자료'!$G$6:$I$11, MATCH(AD6,'연료 자료'!$B$6:$B$11, 0), MATCH(AC6,'연료 자료'!$G$5:$I$5, 0)))</f>
        <v>7</v>
      </c>
      <c r="AF6" s="6">
        <f>VLOOKUP(AD6, 메모!$J$10:$L$19, 3, FALSE)</f>
        <v>2.2709999999999999</v>
      </c>
      <c r="AG6" s="50">
        <f t="shared" ref="AG6:AG126" si="3">IF(Z6="왕복", Y6/AE6*AF6, X6/AE6*AF6)</f>
        <v>5.1908571428571424</v>
      </c>
    </row>
    <row r="7" spans="1:33" ht="18.95" customHeight="1" x14ac:dyDescent="0.25">
      <c r="A7" s="41">
        <v>9</v>
      </c>
      <c r="B7" s="7" t="s">
        <v>433</v>
      </c>
      <c r="C7" s="6" t="s">
        <v>160</v>
      </c>
      <c r="D7" s="6" t="s">
        <v>185</v>
      </c>
      <c r="E7" s="6" t="s">
        <v>193</v>
      </c>
      <c r="F7" s="6" t="s">
        <v>196</v>
      </c>
      <c r="G7" s="6" t="s">
        <v>203</v>
      </c>
      <c r="H7" s="55"/>
      <c r="I7" s="56"/>
      <c r="J7" s="55"/>
      <c r="K7" s="39" t="s">
        <v>365</v>
      </c>
      <c r="L7" s="6" t="b">
        <v>0</v>
      </c>
      <c r="M7" s="6" t="b">
        <v>0</v>
      </c>
      <c r="N7" s="6" t="s">
        <v>358</v>
      </c>
      <c r="O7" s="39"/>
      <c r="P7" s="39"/>
      <c r="Q7" s="39"/>
      <c r="R7" s="39"/>
      <c r="S7" s="39" t="s">
        <v>406</v>
      </c>
      <c r="T7" s="39">
        <v>3</v>
      </c>
      <c r="U7" s="39" t="s">
        <v>688</v>
      </c>
      <c r="V7" s="53"/>
      <c r="W7" s="23"/>
      <c r="X7" s="6">
        <v>4.8</v>
      </c>
      <c r="Y7" s="6">
        <f t="shared" ref="Y7:Y126" si="4">X7*2</f>
        <v>9.6</v>
      </c>
      <c r="Z7" s="23" t="s">
        <v>697</v>
      </c>
      <c r="AA7" s="39" t="s">
        <v>434</v>
      </c>
      <c r="AB7" s="39" t="s">
        <v>604</v>
      </c>
      <c r="AC7" s="39" t="s">
        <v>601</v>
      </c>
      <c r="AD7" s="39" t="s">
        <v>499</v>
      </c>
      <c r="AE7" s="39">
        <f>IF(AB7="승용차", INDEX('연료 자료'!$C$6:$F$11, MATCH(AD7,'연료 자료'!$B$6:$B$11, 0), MATCH(AC7,'연료 자료'!$C$5:$F$5, 0)), INDEX('연료 자료'!$G$6:$I$11, MATCH(AD7,'연료 자료'!$B$6:$B$11, 0), MATCH(AC7,'연료 자료'!$G$5:$I$5, 0)))</f>
        <v>13</v>
      </c>
      <c r="AF7" s="6">
        <f>VLOOKUP(AD7, 메모!$J$10:$L$19, 3, FALSE)</f>
        <v>2.6139999999999999</v>
      </c>
      <c r="AG7" s="50">
        <f t="shared" si="3"/>
        <v>0.96516923076923067</v>
      </c>
    </row>
    <row r="8" spans="1:33" ht="18.95" customHeight="1" x14ac:dyDescent="0.25">
      <c r="A8" s="41">
        <v>10</v>
      </c>
      <c r="B8" s="6" t="s">
        <v>6</v>
      </c>
      <c r="C8" s="6" t="s">
        <v>160</v>
      </c>
      <c r="D8" s="6" t="s">
        <v>185</v>
      </c>
      <c r="E8" s="6" t="s">
        <v>193</v>
      </c>
      <c r="F8" s="6" t="s">
        <v>196</v>
      </c>
      <c r="G8" s="6" t="s">
        <v>204</v>
      </c>
      <c r="H8" s="55"/>
      <c r="I8" s="56"/>
      <c r="J8" s="55"/>
      <c r="K8" s="39" t="s">
        <v>365</v>
      </c>
      <c r="L8" s="6" t="b">
        <v>0</v>
      </c>
      <c r="M8" s="6" t="b">
        <v>0</v>
      </c>
      <c r="N8" s="6" t="s">
        <v>358</v>
      </c>
      <c r="O8" s="39"/>
      <c r="P8" s="39"/>
      <c r="Q8" s="39"/>
      <c r="R8" s="39"/>
      <c r="S8" s="39" t="s">
        <v>406</v>
      </c>
      <c r="T8" s="39">
        <v>3</v>
      </c>
      <c r="U8" s="39" t="s">
        <v>688</v>
      </c>
      <c r="V8" s="53"/>
      <c r="W8" s="39"/>
      <c r="X8" s="6">
        <v>9.6</v>
      </c>
      <c r="Y8" s="6">
        <f t="shared" si="4"/>
        <v>19.2</v>
      </c>
      <c r="Z8" s="23" t="s">
        <v>361</v>
      </c>
      <c r="AA8" s="39" t="s">
        <v>435</v>
      </c>
      <c r="AB8" s="39" t="s">
        <v>604</v>
      </c>
      <c r="AC8" s="39" t="s">
        <v>601</v>
      </c>
      <c r="AD8" s="39" t="s">
        <v>496</v>
      </c>
      <c r="AE8" s="39">
        <f>IF(AB8="승용차", INDEX('연료 자료'!$C$6:$F$11, MATCH(AD8,'연료 자료'!$B$6:$B$11, 0), MATCH(AC8,'연료 자료'!$C$5:$F$5, 0)), INDEX('연료 자료'!$G$6:$I$11, MATCH(AD8,'연료 자료'!$B$6:$B$11, 0), MATCH(AC8,'연료 자료'!$G$5:$I$5, 0)))</f>
        <v>10</v>
      </c>
      <c r="AF8" s="6">
        <f>VLOOKUP(AD8, 메모!$J$10:$L$19, 3, FALSE)</f>
        <v>2.2709999999999999</v>
      </c>
      <c r="AG8" s="50">
        <f t="shared" si="3"/>
        <v>4.3603199999999998</v>
      </c>
    </row>
    <row r="9" spans="1:33" ht="18.95" customHeight="1" x14ac:dyDescent="0.25">
      <c r="A9" s="41">
        <v>11</v>
      </c>
      <c r="B9" s="6" t="s">
        <v>7</v>
      </c>
      <c r="C9" s="6" t="s">
        <v>160</v>
      </c>
      <c r="D9" s="6" t="s">
        <v>185</v>
      </c>
      <c r="E9" s="6" t="s">
        <v>193</v>
      </c>
      <c r="F9" s="6" t="s">
        <v>196</v>
      </c>
      <c r="G9" s="6" t="s">
        <v>205</v>
      </c>
      <c r="H9" s="55"/>
      <c r="I9" s="56"/>
      <c r="J9" s="55"/>
      <c r="K9" s="39" t="s">
        <v>365</v>
      </c>
      <c r="L9" s="6" t="b">
        <v>0</v>
      </c>
      <c r="M9" s="6" t="b">
        <v>0</v>
      </c>
      <c r="N9" s="6" t="s">
        <v>358</v>
      </c>
      <c r="O9" s="39"/>
      <c r="P9" s="39"/>
      <c r="Q9" s="39"/>
      <c r="R9" s="39"/>
      <c r="S9" s="39" t="s">
        <v>406</v>
      </c>
      <c r="T9" s="39">
        <v>3</v>
      </c>
      <c r="U9" s="39" t="s">
        <v>688</v>
      </c>
      <c r="V9" s="53"/>
      <c r="W9" s="39"/>
      <c r="X9" s="6">
        <v>4.7</v>
      </c>
      <c r="Y9" s="6">
        <f t="shared" si="4"/>
        <v>9.4</v>
      </c>
      <c r="Z9" s="23" t="s">
        <v>361</v>
      </c>
      <c r="AA9" s="39" t="s">
        <v>436</v>
      </c>
      <c r="AB9" s="39" t="s">
        <v>604</v>
      </c>
      <c r="AC9" s="39" t="s">
        <v>600</v>
      </c>
      <c r="AD9" s="39" t="s">
        <v>499</v>
      </c>
      <c r="AE9" s="39">
        <f>IF(AB9="승용차", INDEX('연료 자료'!$C$6:$F$11, MATCH(AD9,'연료 자료'!$B$6:$B$11, 0), MATCH(AC9,'연료 자료'!$C$5:$F$5, 0)), INDEX('연료 자료'!$G$6:$I$11, MATCH(AD9,'연료 자료'!$B$6:$B$11, 0), MATCH(AC9,'연료 자료'!$G$5:$I$5, 0)))</f>
        <v>13</v>
      </c>
      <c r="AF9" s="6">
        <f>VLOOKUP(AD9, 메모!$J$10:$L$19, 3, FALSE)</f>
        <v>2.6139999999999999</v>
      </c>
      <c r="AG9" s="50">
        <f t="shared" si="3"/>
        <v>1.8901230769230768</v>
      </c>
    </row>
    <row r="10" spans="1:33" ht="18.95" customHeight="1" x14ac:dyDescent="0.25">
      <c r="A10" s="41">
        <v>12</v>
      </c>
      <c r="B10" s="6" t="s">
        <v>8</v>
      </c>
      <c r="C10" s="6" t="s">
        <v>160</v>
      </c>
      <c r="D10" s="6" t="s">
        <v>185</v>
      </c>
      <c r="E10" s="6" t="s">
        <v>193</v>
      </c>
      <c r="F10" s="6" t="s">
        <v>196</v>
      </c>
      <c r="G10" s="6" t="s">
        <v>206</v>
      </c>
      <c r="H10" s="55"/>
      <c r="I10" s="56"/>
      <c r="J10" s="55"/>
      <c r="K10" s="39" t="s">
        <v>365</v>
      </c>
      <c r="L10" s="6" t="b">
        <v>0</v>
      </c>
      <c r="M10" s="6" t="b">
        <v>0</v>
      </c>
      <c r="N10" s="6" t="s">
        <v>358</v>
      </c>
      <c r="O10" s="39"/>
      <c r="P10" s="39"/>
      <c r="Q10" s="39"/>
      <c r="R10" s="39"/>
      <c r="S10" s="39" t="s">
        <v>406</v>
      </c>
      <c r="T10" s="39">
        <v>3</v>
      </c>
      <c r="U10" s="39" t="s">
        <v>688</v>
      </c>
      <c r="V10" s="53"/>
      <c r="W10" s="39"/>
      <c r="X10" s="6">
        <v>9.3000000000000007</v>
      </c>
      <c r="Y10" s="6">
        <f t="shared" si="4"/>
        <v>18.600000000000001</v>
      </c>
      <c r="Z10" s="23" t="s">
        <v>361</v>
      </c>
      <c r="AA10" s="39" t="s">
        <v>437</v>
      </c>
      <c r="AB10" s="39" t="s">
        <v>604</v>
      </c>
      <c r="AC10" s="39" t="s">
        <v>601</v>
      </c>
      <c r="AD10" s="39" t="s">
        <v>496</v>
      </c>
      <c r="AE10" s="39">
        <f>IF(AB10="승용차", INDEX('연료 자료'!$C$6:$F$11, MATCH(AD10,'연료 자료'!$B$6:$B$11, 0), MATCH(AC10,'연료 자료'!$C$5:$F$5, 0)), INDEX('연료 자료'!$G$6:$I$11, MATCH(AD10,'연료 자료'!$B$6:$B$11, 0), MATCH(AC10,'연료 자료'!$G$5:$I$5, 0)))</f>
        <v>10</v>
      </c>
      <c r="AF10" s="6">
        <f>VLOOKUP(AD10, 메모!$J$10:$L$19, 3, FALSE)</f>
        <v>2.2709999999999999</v>
      </c>
      <c r="AG10" s="50">
        <f t="shared" si="3"/>
        <v>4.2240599999999997</v>
      </c>
    </row>
    <row r="11" spans="1:33" ht="18.95" customHeight="1" x14ac:dyDescent="0.25">
      <c r="A11" s="41">
        <v>13</v>
      </c>
      <c r="B11" s="6" t="s">
        <v>9</v>
      </c>
      <c r="C11" s="6" t="s">
        <v>160</v>
      </c>
      <c r="D11" s="6" t="s">
        <v>185</v>
      </c>
      <c r="E11" s="6" t="s">
        <v>193</v>
      </c>
      <c r="F11" s="6" t="s">
        <v>196</v>
      </c>
      <c r="G11" s="6" t="s">
        <v>207</v>
      </c>
      <c r="H11" s="55"/>
      <c r="I11" s="56"/>
      <c r="J11" s="55"/>
      <c r="K11" s="39" t="s">
        <v>365</v>
      </c>
      <c r="L11" s="6" t="b">
        <v>0</v>
      </c>
      <c r="M11" s="6" t="b">
        <v>0</v>
      </c>
      <c r="N11" s="6" t="s">
        <v>358</v>
      </c>
      <c r="O11" s="39"/>
      <c r="P11" s="39"/>
      <c r="Q11" s="39"/>
      <c r="R11" s="39"/>
      <c r="S11" s="39" t="s">
        <v>406</v>
      </c>
      <c r="T11" s="39">
        <v>3</v>
      </c>
      <c r="U11" s="39" t="s">
        <v>688</v>
      </c>
      <c r="V11" s="53"/>
      <c r="W11" s="39"/>
      <c r="X11" s="6">
        <v>12</v>
      </c>
      <c r="Y11" s="6">
        <f t="shared" si="4"/>
        <v>24</v>
      </c>
      <c r="Z11" s="23" t="s">
        <v>361</v>
      </c>
      <c r="AA11" s="39" t="s">
        <v>435</v>
      </c>
      <c r="AB11" s="39" t="s">
        <v>604</v>
      </c>
      <c r="AC11" s="39" t="s">
        <v>601</v>
      </c>
      <c r="AD11" s="39" t="s">
        <v>496</v>
      </c>
      <c r="AE11" s="39">
        <f>IF(AB11="승용차", INDEX('연료 자료'!$C$6:$F$11, MATCH(AD11,'연료 자료'!$B$6:$B$11, 0), MATCH(AC11,'연료 자료'!$C$5:$F$5, 0)), INDEX('연료 자료'!$G$6:$I$11, MATCH(AD11,'연료 자료'!$B$6:$B$11, 0), MATCH(AC11,'연료 자료'!$G$5:$I$5, 0)))</f>
        <v>10</v>
      </c>
      <c r="AF11" s="6">
        <f>VLOOKUP(AD11, 메모!$J$10:$L$19, 3, FALSE)</f>
        <v>2.2709999999999999</v>
      </c>
      <c r="AG11" s="50">
        <f t="shared" si="3"/>
        <v>5.4503999999999992</v>
      </c>
    </row>
    <row r="12" spans="1:33" ht="18.95" customHeight="1" x14ac:dyDescent="0.25">
      <c r="A12" s="41">
        <v>14</v>
      </c>
      <c r="B12" s="6" t="s">
        <v>10</v>
      </c>
      <c r="C12" s="6" t="s">
        <v>160</v>
      </c>
      <c r="D12" s="6" t="s">
        <v>185</v>
      </c>
      <c r="E12" s="6" t="s">
        <v>193</v>
      </c>
      <c r="F12" s="6" t="s">
        <v>196</v>
      </c>
      <c r="G12" s="6" t="s">
        <v>208</v>
      </c>
      <c r="H12" s="55"/>
      <c r="I12" s="56"/>
      <c r="J12" s="55"/>
      <c r="K12" s="39" t="s">
        <v>365</v>
      </c>
      <c r="L12" s="6" t="b">
        <v>0</v>
      </c>
      <c r="M12" s="6" t="b">
        <v>0</v>
      </c>
      <c r="N12" s="6" t="s">
        <v>358</v>
      </c>
      <c r="O12" s="39"/>
      <c r="P12" s="39"/>
      <c r="Q12" s="39"/>
      <c r="R12" s="39"/>
      <c r="S12" s="39" t="s">
        <v>406</v>
      </c>
      <c r="T12" s="39">
        <v>3</v>
      </c>
      <c r="U12" s="39" t="s">
        <v>688</v>
      </c>
      <c r="V12" s="53"/>
      <c r="W12" s="39"/>
      <c r="X12" s="6">
        <v>5</v>
      </c>
      <c r="Y12" s="6">
        <f t="shared" si="4"/>
        <v>10</v>
      </c>
      <c r="Z12" s="23" t="s">
        <v>361</v>
      </c>
      <c r="AA12" s="39" t="s">
        <v>438</v>
      </c>
      <c r="AB12" s="39" t="s">
        <v>604</v>
      </c>
      <c r="AC12" s="39" t="s">
        <v>601</v>
      </c>
      <c r="AD12" s="39" t="s">
        <v>501</v>
      </c>
      <c r="AE12" s="39">
        <f>IF(AB12="승용차", INDEX('연료 자료'!$C$6:$F$11, MATCH(AD12,'연료 자료'!$B$6:$B$11, 0), MATCH(AC12,'연료 자료'!$C$5:$F$5, 0)), INDEX('연료 자료'!$G$6:$I$11, MATCH(AD12,'연료 자료'!$B$6:$B$11, 0), MATCH(AC12,'연료 자료'!$G$5:$I$5, 0)))</f>
        <v>15</v>
      </c>
      <c r="AF12" s="6">
        <f>VLOOKUP(AD12, 메모!$J$10:$L$19, 3, FALSE)</f>
        <v>2.2709999999999999</v>
      </c>
      <c r="AG12" s="50">
        <f t="shared" si="3"/>
        <v>1.5139999999999998</v>
      </c>
    </row>
    <row r="13" spans="1:33" ht="18.95" customHeight="1" x14ac:dyDescent="0.25">
      <c r="A13" s="41">
        <v>15</v>
      </c>
      <c r="B13" s="6" t="s">
        <v>11</v>
      </c>
      <c r="C13" s="6" t="s">
        <v>160</v>
      </c>
      <c r="D13" s="6" t="s">
        <v>185</v>
      </c>
      <c r="E13" s="6" t="s">
        <v>193</v>
      </c>
      <c r="F13" s="6" t="s">
        <v>196</v>
      </c>
      <c r="G13" s="6" t="s">
        <v>209</v>
      </c>
      <c r="H13" s="55"/>
      <c r="I13" s="56"/>
      <c r="J13" s="55"/>
      <c r="K13" s="39" t="s">
        <v>365</v>
      </c>
      <c r="L13" s="6" t="b">
        <v>0</v>
      </c>
      <c r="M13" s="6" t="b">
        <v>0</v>
      </c>
      <c r="N13" s="6" t="s">
        <v>358</v>
      </c>
      <c r="O13" s="39"/>
      <c r="P13" s="39"/>
      <c r="Q13" s="39"/>
      <c r="R13" s="39"/>
      <c r="S13" s="39" t="s">
        <v>406</v>
      </c>
      <c r="T13" s="39">
        <v>3</v>
      </c>
      <c r="U13" s="39" t="s">
        <v>688</v>
      </c>
      <c r="V13" s="53"/>
      <c r="W13" s="39"/>
      <c r="X13" s="6">
        <v>5</v>
      </c>
      <c r="Y13" s="6">
        <f t="shared" si="4"/>
        <v>10</v>
      </c>
      <c r="Z13" s="23" t="s">
        <v>361</v>
      </c>
      <c r="AA13" s="39" t="s">
        <v>439</v>
      </c>
      <c r="AB13" s="39" t="s">
        <v>604</v>
      </c>
      <c r="AC13" s="39" t="s">
        <v>599</v>
      </c>
      <c r="AD13" s="39" t="s">
        <v>496</v>
      </c>
      <c r="AE13" s="39">
        <f>IF(AB13="승용차", INDEX('연료 자료'!$C$6:$F$11, MATCH(AD13,'연료 자료'!$B$6:$B$11, 0), MATCH(AC13,'연료 자료'!$C$5:$F$5, 0)), INDEX('연료 자료'!$G$6:$I$11, MATCH(AD13,'연료 자료'!$B$6:$B$11, 0), MATCH(AC13,'연료 자료'!$G$5:$I$5, 0)))</f>
        <v>14</v>
      </c>
      <c r="AF13" s="6">
        <f>VLOOKUP(AD13, 메모!$J$10:$L$19, 3, FALSE)</f>
        <v>2.2709999999999999</v>
      </c>
      <c r="AG13" s="50">
        <f t="shared" si="3"/>
        <v>1.6221428571428571</v>
      </c>
    </row>
    <row r="14" spans="1:33" ht="18.95" customHeight="1" x14ac:dyDescent="0.25">
      <c r="A14" s="41">
        <v>16</v>
      </c>
      <c r="B14" s="6" t="s">
        <v>12</v>
      </c>
      <c r="C14" s="6" t="s">
        <v>160</v>
      </c>
      <c r="D14" s="6" t="s">
        <v>185</v>
      </c>
      <c r="E14" s="6" t="s">
        <v>193</v>
      </c>
      <c r="F14" s="6" t="s">
        <v>196</v>
      </c>
      <c r="G14" s="6" t="s">
        <v>210</v>
      </c>
      <c r="H14" s="55"/>
      <c r="I14" s="56"/>
      <c r="J14" s="55"/>
      <c r="K14" s="39" t="s">
        <v>365</v>
      </c>
      <c r="L14" s="6" t="b">
        <v>0</v>
      </c>
      <c r="M14" s="6" t="b">
        <v>0</v>
      </c>
      <c r="N14" s="6" t="s">
        <v>358</v>
      </c>
      <c r="O14" s="39"/>
      <c r="P14" s="39"/>
      <c r="Q14" s="39"/>
      <c r="R14" s="39"/>
      <c r="S14" s="39" t="s">
        <v>406</v>
      </c>
      <c r="T14" s="39">
        <v>3</v>
      </c>
      <c r="U14" s="39" t="s">
        <v>688</v>
      </c>
      <c r="V14" s="53"/>
      <c r="W14" s="39"/>
      <c r="X14" s="6">
        <v>9.3000000000000007</v>
      </c>
      <c r="Y14" s="6">
        <f t="shared" si="4"/>
        <v>18.600000000000001</v>
      </c>
      <c r="Z14" s="23" t="s">
        <v>361</v>
      </c>
      <c r="AA14" s="39" t="s">
        <v>440</v>
      </c>
      <c r="AB14" s="39" t="s">
        <v>604</v>
      </c>
      <c r="AC14" s="39" t="s">
        <v>600</v>
      </c>
      <c r="AD14" s="39" t="s">
        <v>496</v>
      </c>
      <c r="AE14" s="39">
        <f>IF(AB14="승용차", INDEX('연료 자료'!$C$6:$F$11, MATCH(AD14,'연료 자료'!$B$6:$B$11, 0), MATCH(AC14,'연료 자료'!$C$5:$F$5, 0)), INDEX('연료 자료'!$G$6:$I$11, MATCH(AD14,'연료 자료'!$B$6:$B$11, 0), MATCH(AC14,'연료 자료'!$G$5:$I$5, 0)))</f>
        <v>12</v>
      </c>
      <c r="AF14" s="6">
        <f>VLOOKUP(AD14, 메모!$J$10:$L$19, 3, FALSE)</f>
        <v>2.2709999999999999</v>
      </c>
      <c r="AG14" s="50">
        <f t="shared" si="3"/>
        <v>3.5200499999999999</v>
      </c>
    </row>
    <row r="15" spans="1:33" ht="18.95" customHeight="1" x14ac:dyDescent="0.25">
      <c r="A15" s="41">
        <v>17</v>
      </c>
      <c r="B15" s="6" t="s">
        <v>13</v>
      </c>
      <c r="C15" s="6" t="s">
        <v>160</v>
      </c>
      <c r="D15" s="6" t="s">
        <v>185</v>
      </c>
      <c r="E15" s="6" t="s">
        <v>193</v>
      </c>
      <c r="F15" s="6" t="s">
        <v>196</v>
      </c>
      <c r="G15" s="6" t="s">
        <v>211</v>
      </c>
      <c r="H15" s="55"/>
      <c r="I15" s="56"/>
      <c r="J15" s="55"/>
      <c r="K15" s="39" t="s">
        <v>365</v>
      </c>
      <c r="L15" s="6" t="b">
        <v>0</v>
      </c>
      <c r="M15" s="6" t="b">
        <v>0</v>
      </c>
      <c r="N15" s="6" t="s">
        <v>358</v>
      </c>
      <c r="O15" s="39"/>
      <c r="P15" s="39"/>
      <c r="Q15" s="39"/>
      <c r="R15" s="39"/>
      <c r="S15" s="39" t="s">
        <v>406</v>
      </c>
      <c r="T15" s="39">
        <v>3</v>
      </c>
      <c r="U15" s="39" t="s">
        <v>688</v>
      </c>
      <c r="V15" s="53"/>
      <c r="W15" s="39"/>
      <c r="X15" s="6">
        <v>31</v>
      </c>
      <c r="Y15" s="6">
        <f t="shared" si="4"/>
        <v>62</v>
      </c>
      <c r="Z15" s="23" t="s">
        <v>361</v>
      </c>
      <c r="AA15" s="39" t="s">
        <v>441</v>
      </c>
      <c r="AB15" s="39" t="s">
        <v>604</v>
      </c>
      <c r="AC15" s="39" t="s">
        <v>599</v>
      </c>
      <c r="AD15" s="39" t="s">
        <v>496</v>
      </c>
      <c r="AE15" s="39">
        <f>IF(AB15="승용차", INDEX('연료 자료'!$C$6:$F$11, MATCH(AD15,'연료 자료'!$B$6:$B$11, 0), MATCH(AC15,'연료 자료'!$C$5:$F$5, 0)), INDEX('연료 자료'!$G$6:$I$11, MATCH(AD15,'연료 자료'!$B$6:$B$11, 0), MATCH(AC15,'연료 자료'!$G$5:$I$5, 0)))</f>
        <v>14</v>
      </c>
      <c r="AF15" s="6">
        <f>VLOOKUP(AD15, 메모!$J$10:$L$19, 3, FALSE)</f>
        <v>2.2709999999999999</v>
      </c>
      <c r="AG15" s="50">
        <f t="shared" si="3"/>
        <v>10.057285714285715</v>
      </c>
    </row>
    <row r="16" spans="1:33" ht="18.95" customHeight="1" x14ac:dyDescent="0.25">
      <c r="A16" s="41">
        <v>18</v>
      </c>
      <c r="B16" s="6" t="s">
        <v>14</v>
      </c>
      <c r="C16" s="6" t="s">
        <v>160</v>
      </c>
      <c r="D16" s="6" t="s">
        <v>185</v>
      </c>
      <c r="E16" s="6" t="s">
        <v>193</v>
      </c>
      <c r="F16" s="6" t="s">
        <v>196</v>
      </c>
      <c r="G16" s="6" t="s">
        <v>212</v>
      </c>
      <c r="H16" s="55"/>
      <c r="I16" s="56"/>
      <c r="J16" s="55"/>
      <c r="K16" s="39" t="s">
        <v>365</v>
      </c>
      <c r="L16" s="6" t="b">
        <v>0</v>
      </c>
      <c r="M16" s="6" t="b">
        <v>0</v>
      </c>
      <c r="N16" s="6" t="s">
        <v>358</v>
      </c>
      <c r="O16" s="39"/>
      <c r="P16" s="39"/>
      <c r="Q16" s="39"/>
      <c r="R16" s="39"/>
      <c r="S16" s="39" t="s">
        <v>406</v>
      </c>
      <c r="T16" s="39">
        <v>3</v>
      </c>
      <c r="U16" s="39" t="s">
        <v>688</v>
      </c>
      <c r="V16" s="53"/>
      <c r="W16" s="39"/>
      <c r="X16" s="6">
        <v>1.1000000000000001</v>
      </c>
      <c r="Y16" s="6">
        <f t="shared" si="4"/>
        <v>2.2000000000000002</v>
      </c>
      <c r="Z16" s="23" t="s">
        <v>361</v>
      </c>
      <c r="AA16" s="39" t="s">
        <v>432</v>
      </c>
      <c r="AB16" s="39" t="s">
        <v>604</v>
      </c>
      <c r="AC16" s="39" t="s">
        <v>602</v>
      </c>
      <c r="AD16" s="39" t="s">
        <v>496</v>
      </c>
      <c r="AE16" s="39">
        <f>IF(AB16="승용차", INDEX('연료 자료'!$C$6:$F$11, MATCH(AD16,'연료 자료'!$B$6:$B$11, 0), MATCH(AC16,'연료 자료'!$C$5:$F$5, 0)), INDEX('연료 자료'!$G$6:$I$11, MATCH(AD16,'연료 자료'!$B$6:$B$11, 0), MATCH(AC16,'연료 자료'!$G$5:$I$5, 0)))</f>
        <v>7</v>
      </c>
      <c r="AF16" s="6">
        <f>VLOOKUP(AD16, 메모!$J$10:$L$19, 3, FALSE)</f>
        <v>2.2709999999999999</v>
      </c>
      <c r="AG16" s="50">
        <f t="shared" si="3"/>
        <v>0.71374285714285723</v>
      </c>
    </row>
    <row r="17" spans="1:33" ht="18.95" customHeight="1" x14ac:dyDescent="0.25">
      <c r="A17" s="41">
        <v>19</v>
      </c>
      <c r="B17" s="6" t="s">
        <v>15</v>
      </c>
      <c r="C17" s="6" t="s">
        <v>160</v>
      </c>
      <c r="D17" s="6" t="s">
        <v>185</v>
      </c>
      <c r="E17" s="6" t="s">
        <v>193</v>
      </c>
      <c r="F17" s="6" t="s">
        <v>196</v>
      </c>
      <c r="G17" s="6" t="s">
        <v>213</v>
      </c>
      <c r="H17" s="55"/>
      <c r="I17" s="56"/>
      <c r="J17" s="55"/>
      <c r="K17" s="39" t="s">
        <v>365</v>
      </c>
      <c r="L17" s="6" t="b">
        <v>0</v>
      </c>
      <c r="M17" s="6" t="b">
        <v>0</v>
      </c>
      <c r="N17" s="6" t="s">
        <v>358</v>
      </c>
      <c r="O17" s="39"/>
      <c r="P17" s="39"/>
      <c r="Q17" s="39"/>
      <c r="R17" s="39"/>
      <c r="S17" s="39" t="s">
        <v>406</v>
      </c>
      <c r="T17" s="39">
        <v>3</v>
      </c>
      <c r="U17" s="39" t="s">
        <v>688</v>
      </c>
      <c r="V17" s="53"/>
      <c r="W17" s="39"/>
      <c r="X17" s="6">
        <v>11</v>
      </c>
      <c r="Y17" s="6">
        <f t="shared" si="4"/>
        <v>22</v>
      </c>
      <c r="Z17" s="23" t="s">
        <v>361</v>
      </c>
      <c r="AA17" s="39" t="s">
        <v>432</v>
      </c>
      <c r="AB17" s="39" t="s">
        <v>604</v>
      </c>
      <c r="AC17" s="39" t="s">
        <v>602</v>
      </c>
      <c r="AD17" s="39" t="s">
        <v>496</v>
      </c>
      <c r="AE17" s="39">
        <f>IF(AB17="승용차", INDEX('연료 자료'!$C$6:$F$11, MATCH(AD17,'연료 자료'!$B$6:$B$11, 0), MATCH(AC17,'연료 자료'!$C$5:$F$5, 0)), INDEX('연료 자료'!$G$6:$I$11, MATCH(AD17,'연료 자료'!$B$6:$B$11, 0), MATCH(AC17,'연료 자료'!$G$5:$I$5, 0)))</f>
        <v>7</v>
      </c>
      <c r="AF17" s="6">
        <f>VLOOKUP(AD17, 메모!$J$10:$L$19, 3, FALSE)</f>
        <v>2.2709999999999999</v>
      </c>
      <c r="AG17" s="50">
        <f t="shared" si="3"/>
        <v>7.137428571428571</v>
      </c>
    </row>
    <row r="18" spans="1:33" ht="18.95" customHeight="1" x14ac:dyDescent="0.25">
      <c r="A18" s="41">
        <v>20</v>
      </c>
      <c r="B18" s="6" t="s">
        <v>16</v>
      </c>
      <c r="C18" s="6" t="s">
        <v>160</v>
      </c>
      <c r="D18" s="6" t="s">
        <v>185</v>
      </c>
      <c r="E18" s="6" t="s">
        <v>193</v>
      </c>
      <c r="F18" s="6" t="s">
        <v>196</v>
      </c>
      <c r="G18" s="6" t="s">
        <v>214</v>
      </c>
      <c r="H18" s="55"/>
      <c r="I18" s="56"/>
      <c r="J18" s="55"/>
      <c r="K18" s="39" t="s">
        <v>365</v>
      </c>
      <c r="L18" s="6" t="b">
        <v>0</v>
      </c>
      <c r="M18" s="6" t="b">
        <v>0</v>
      </c>
      <c r="N18" s="6" t="s">
        <v>358</v>
      </c>
      <c r="O18" s="39"/>
      <c r="P18" s="39"/>
      <c r="Q18" s="39"/>
      <c r="R18" s="39"/>
      <c r="S18" s="39" t="s">
        <v>406</v>
      </c>
      <c r="T18" s="39">
        <v>3</v>
      </c>
      <c r="U18" s="39" t="s">
        <v>688</v>
      </c>
      <c r="V18" s="53"/>
      <c r="W18" s="39"/>
      <c r="X18" s="6">
        <v>11</v>
      </c>
      <c r="Y18" s="6">
        <f t="shared" si="4"/>
        <v>22</v>
      </c>
      <c r="Z18" s="23" t="s">
        <v>361</v>
      </c>
      <c r="AA18" s="39" t="s">
        <v>442</v>
      </c>
      <c r="AB18" s="39" t="s">
        <v>604</v>
      </c>
      <c r="AC18" s="39" t="s">
        <v>601</v>
      </c>
      <c r="AD18" s="39" t="s">
        <v>496</v>
      </c>
      <c r="AE18" s="39">
        <f>IF(AB18="승용차", INDEX('연료 자료'!$C$6:$F$11, MATCH(AD18,'연료 자료'!$B$6:$B$11, 0), MATCH(AC18,'연료 자료'!$C$5:$F$5, 0)), INDEX('연료 자료'!$G$6:$I$11, MATCH(AD18,'연료 자료'!$B$6:$B$11, 0), MATCH(AC18,'연료 자료'!$G$5:$I$5, 0)))</f>
        <v>10</v>
      </c>
      <c r="AF18" s="6">
        <f>VLOOKUP(AD18, 메모!$J$10:$L$19, 3, FALSE)</f>
        <v>2.2709999999999999</v>
      </c>
      <c r="AG18" s="50">
        <f t="shared" si="3"/>
        <v>4.9962</v>
      </c>
    </row>
    <row r="19" spans="1:33" ht="18.95" customHeight="1" x14ac:dyDescent="0.25">
      <c r="A19" s="41">
        <v>21</v>
      </c>
      <c r="B19" s="6" t="s">
        <v>17</v>
      </c>
      <c r="C19" s="6" t="s">
        <v>160</v>
      </c>
      <c r="D19" s="6" t="s">
        <v>185</v>
      </c>
      <c r="E19" s="6" t="s">
        <v>193</v>
      </c>
      <c r="F19" s="6" t="s">
        <v>196</v>
      </c>
      <c r="G19" s="6" t="s">
        <v>215</v>
      </c>
      <c r="H19" s="55"/>
      <c r="I19" s="56"/>
      <c r="J19" s="55"/>
      <c r="K19" s="39" t="s">
        <v>365</v>
      </c>
      <c r="L19" s="6" t="b">
        <v>0</v>
      </c>
      <c r="M19" s="6" t="b">
        <v>0</v>
      </c>
      <c r="N19" s="6" t="s">
        <v>358</v>
      </c>
      <c r="O19" s="39"/>
      <c r="P19" s="39"/>
      <c r="Q19" s="39"/>
      <c r="R19" s="39"/>
      <c r="S19" s="39" t="s">
        <v>406</v>
      </c>
      <c r="T19" s="39">
        <v>3</v>
      </c>
      <c r="U19" s="39" t="s">
        <v>688</v>
      </c>
      <c r="V19" s="53"/>
      <c r="W19" s="39"/>
      <c r="X19" s="6">
        <v>15</v>
      </c>
      <c r="Y19" s="6">
        <f t="shared" si="4"/>
        <v>30</v>
      </c>
      <c r="Z19" s="23" t="s">
        <v>361</v>
      </c>
      <c r="AA19" s="39" t="s">
        <v>443</v>
      </c>
      <c r="AB19" s="39" t="s">
        <v>604</v>
      </c>
      <c r="AC19" s="39" t="s">
        <v>601</v>
      </c>
      <c r="AD19" s="39" t="s">
        <v>499</v>
      </c>
      <c r="AE19" s="39">
        <f>IF(AB19="승용차", INDEX('연료 자료'!$C$6:$F$11, MATCH(AD19,'연료 자료'!$B$6:$B$11, 0), MATCH(AC19,'연료 자료'!$C$5:$F$5, 0)), INDEX('연료 자료'!$G$6:$I$11, MATCH(AD19,'연료 자료'!$B$6:$B$11, 0), MATCH(AC19,'연료 자료'!$G$5:$I$5, 0)))</f>
        <v>13</v>
      </c>
      <c r="AF19" s="6">
        <f>VLOOKUP(AD19, 메모!$J$10:$L$19, 3, FALSE)</f>
        <v>2.6139999999999999</v>
      </c>
      <c r="AG19" s="50">
        <f t="shared" si="3"/>
        <v>6.0323076923076915</v>
      </c>
    </row>
    <row r="20" spans="1:33" ht="18.95" customHeight="1" x14ac:dyDescent="0.25">
      <c r="A20" s="41">
        <v>22</v>
      </c>
      <c r="B20" s="7" t="s">
        <v>379</v>
      </c>
      <c r="C20" s="6" t="s">
        <v>160</v>
      </c>
      <c r="D20" s="6" t="s">
        <v>185</v>
      </c>
      <c r="E20" s="6" t="s">
        <v>193</v>
      </c>
      <c r="F20" s="6" t="s">
        <v>196</v>
      </c>
      <c r="G20" s="6" t="s">
        <v>216</v>
      </c>
      <c r="H20" s="55"/>
      <c r="I20" s="55"/>
      <c r="J20" s="55"/>
      <c r="K20" s="39" t="s">
        <v>365</v>
      </c>
      <c r="L20" s="6" t="b">
        <v>0</v>
      </c>
      <c r="M20" s="6" t="b">
        <v>0</v>
      </c>
      <c r="N20" s="6" t="s">
        <v>358</v>
      </c>
      <c r="O20" s="39"/>
      <c r="P20" s="39"/>
      <c r="Q20" s="39"/>
      <c r="R20" s="39"/>
      <c r="S20" s="39" t="s">
        <v>406</v>
      </c>
      <c r="T20" s="39">
        <v>3</v>
      </c>
      <c r="U20" s="39" t="s">
        <v>688</v>
      </c>
      <c r="V20" s="53"/>
      <c r="W20" s="39"/>
      <c r="X20" s="6">
        <v>3.1</v>
      </c>
      <c r="Y20" s="6">
        <f t="shared" si="4"/>
        <v>6.2</v>
      </c>
      <c r="Z20" s="23" t="s">
        <v>361</v>
      </c>
      <c r="AA20" s="39" t="s">
        <v>444</v>
      </c>
      <c r="AB20" s="39" t="s">
        <v>604</v>
      </c>
      <c r="AC20" s="39" t="s">
        <v>601</v>
      </c>
      <c r="AD20" s="39" t="s">
        <v>499</v>
      </c>
      <c r="AE20" s="39">
        <f>IF(AB20="승용차", INDEX('연료 자료'!$C$6:$F$11, MATCH(AD20,'연료 자료'!$B$6:$B$11, 0), MATCH(AC20,'연료 자료'!$C$5:$F$5, 0)), INDEX('연료 자료'!$G$6:$I$11, MATCH(AD20,'연료 자료'!$B$6:$B$11, 0), MATCH(AC20,'연료 자료'!$G$5:$I$5, 0)))</f>
        <v>13</v>
      </c>
      <c r="AF20" s="6">
        <f>VLOOKUP(AD20, 메모!$J$10:$L$19, 3, FALSE)</f>
        <v>2.6139999999999999</v>
      </c>
      <c r="AG20" s="50">
        <f t="shared" si="3"/>
        <v>1.246676923076923</v>
      </c>
    </row>
    <row r="21" spans="1:33" ht="18.95" customHeight="1" x14ac:dyDescent="0.25">
      <c r="A21" s="41">
        <v>23</v>
      </c>
      <c r="B21" s="6" t="s">
        <v>18</v>
      </c>
      <c r="C21" s="6" t="s">
        <v>160</v>
      </c>
      <c r="D21" s="6" t="s">
        <v>185</v>
      </c>
      <c r="E21" s="6" t="s">
        <v>193</v>
      </c>
      <c r="F21" s="6" t="s">
        <v>196</v>
      </c>
      <c r="G21" s="6" t="s">
        <v>217</v>
      </c>
      <c r="H21" s="55"/>
      <c r="I21" s="55"/>
      <c r="J21" s="55"/>
      <c r="K21" s="39" t="s">
        <v>365</v>
      </c>
      <c r="L21" s="6" t="b">
        <v>0</v>
      </c>
      <c r="M21" s="6" t="b">
        <v>0</v>
      </c>
      <c r="N21" s="6" t="s">
        <v>358</v>
      </c>
      <c r="O21" s="39"/>
      <c r="P21" s="39"/>
      <c r="Q21" s="39"/>
      <c r="R21" s="39"/>
      <c r="S21" s="39" t="s">
        <v>406</v>
      </c>
      <c r="T21" s="39">
        <v>3</v>
      </c>
      <c r="U21" s="39" t="s">
        <v>688</v>
      </c>
      <c r="V21" s="53"/>
      <c r="W21" s="39"/>
      <c r="X21" s="6">
        <v>2.6</v>
      </c>
      <c r="Y21" s="6">
        <f t="shared" si="4"/>
        <v>5.2</v>
      </c>
      <c r="Z21" s="23" t="s">
        <v>361</v>
      </c>
      <c r="AA21" s="39" t="s">
        <v>445</v>
      </c>
      <c r="AB21" s="39" t="s">
        <v>604</v>
      </c>
      <c r="AC21" s="39" t="s">
        <v>601</v>
      </c>
      <c r="AD21" s="39" t="s">
        <v>499</v>
      </c>
      <c r="AE21" s="39">
        <f>IF(AB21="승용차", INDEX('연료 자료'!$C$6:$F$11, MATCH(AD21,'연료 자료'!$B$6:$B$11, 0), MATCH(AC21,'연료 자료'!$C$5:$F$5, 0)), INDEX('연료 자료'!$G$6:$I$11, MATCH(AD21,'연료 자료'!$B$6:$B$11, 0), MATCH(AC21,'연료 자료'!$G$5:$I$5, 0)))</f>
        <v>13</v>
      </c>
      <c r="AF21" s="6">
        <f>VLOOKUP(AD21, 메모!$J$10:$L$19, 3, FALSE)</f>
        <v>2.6139999999999999</v>
      </c>
      <c r="AG21" s="50">
        <f t="shared" si="3"/>
        <v>1.0456000000000001</v>
      </c>
    </row>
    <row r="22" spans="1:33" ht="18.95" customHeight="1" x14ac:dyDescent="0.25">
      <c r="A22" s="41">
        <v>24</v>
      </c>
      <c r="B22" s="6" t="s">
        <v>19</v>
      </c>
      <c r="C22" s="6" t="s">
        <v>160</v>
      </c>
      <c r="D22" s="6" t="s">
        <v>185</v>
      </c>
      <c r="E22" s="6" t="s">
        <v>193</v>
      </c>
      <c r="F22" s="6" t="s">
        <v>196</v>
      </c>
      <c r="G22" s="6" t="s">
        <v>218</v>
      </c>
      <c r="H22" s="55"/>
      <c r="I22" s="55"/>
      <c r="J22" s="55"/>
      <c r="K22" s="39" t="s">
        <v>365</v>
      </c>
      <c r="L22" s="6" t="b">
        <v>0</v>
      </c>
      <c r="M22" s="6" t="b">
        <v>0</v>
      </c>
      <c r="N22" s="6" t="s">
        <v>358</v>
      </c>
      <c r="O22" s="39"/>
      <c r="P22" s="39"/>
      <c r="Q22" s="39"/>
      <c r="R22" s="39"/>
      <c r="S22" s="39" t="s">
        <v>406</v>
      </c>
      <c r="T22" s="39">
        <v>3</v>
      </c>
      <c r="U22" s="39" t="s">
        <v>688</v>
      </c>
      <c r="V22" s="53"/>
      <c r="W22" s="39"/>
      <c r="X22" s="6">
        <v>6.7</v>
      </c>
      <c r="Y22" s="6">
        <f t="shared" si="4"/>
        <v>13.4</v>
      </c>
      <c r="Z22" s="23" t="s">
        <v>361</v>
      </c>
      <c r="AA22" s="39" t="s">
        <v>442</v>
      </c>
      <c r="AB22" s="39" t="s">
        <v>604</v>
      </c>
      <c r="AC22" s="39" t="s">
        <v>601</v>
      </c>
      <c r="AD22" s="39" t="s">
        <v>496</v>
      </c>
      <c r="AE22" s="39">
        <f>IF(AB22="승용차", INDEX('연료 자료'!$C$6:$F$11, MATCH(AD22,'연료 자료'!$B$6:$B$11, 0), MATCH(AC22,'연료 자료'!$C$5:$F$5, 0)), INDEX('연료 자료'!$G$6:$I$11, MATCH(AD22,'연료 자료'!$B$6:$B$11, 0), MATCH(AC22,'연료 자료'!$G$5:$I$5, 0)))</f>
        <v>10</v>
      </c>
      <c r="AF22" s="6">
        <f>VLOOKUP(AD22, 메모!$J$10:$L$19, 3, FALSE)</f>
        <v>2.2709999999999999</v>
      </c>
      <c r="AG22" s="50">
        <f t="shared" si="3"/>
        <v>3.0431400000000002</v>
      </c>
    </row>
    <row r="23" spans="1:33" ht="18.95" customHeight="1" x14ac:dyDescent="0.25">
      <c r="A23" s="41">
        <v>25</v>
      </c>
      <c r="B23" s="6" t="s">
        <v>20</v>
      </c>
      <c r="C23" s="6" t="s">
        <v>160</v>
      </c>
      <c r="D23" s="6" t="s">
        <v>185</v>
      </c>
      <c r="E23" s="6" t="s">
        <v>193</v>
      </c>
      <c r="F23" s="6" t="s">
        <v>196</v>
      </c>
      <c r="G23" s="6" t="s">
        <v>219</v>
      </c>
      <c r="H23" s="55"/>
      <c r="I23" s="55"/>
      <c r="J23" s="55"/>
      <c r="K23" s="39" t="s">
        <v>365</v>
      </c>
      <c r="L23" s="6" t="b">
        <v>0</v>
      </c>
      <c r="M23" s="6" t="b">
        <v>0</v>
      </c>
      <c r="N23" s="6" t="s">
        <v>358</v>
      </c>
      <c r="O23" s="39"/>
      <c r="P23" s="39"/>
      <c r="Q23" s="39"/>
      <c r="R23" s="39"/>
      <c r="S23" s="39" t="s">
        <v>406</v>
      </c>
      <c r="T23" s="39">
        <v>3</v>
      </c>
      <c r="U23" s="39" t="s">
        <v>688</v>
      </c>
      <c r="V23" s="53"/>
      <c r="W23" s="39"/>
      <c r="X23" s="6">
        <v>4.0999999999999996</v>
      </c>
      <c r="Y23" s="6">
        <f t="shared" si="4"/>
        <v>8.1999999999999993</v>
      </c>
      <c r="Z23" s="23" t="s">
        <v>361</v>
      </c>
      <c r="AA23" s="39" t="s">
        <v>435</v>
      </c>
      <c r="AB23" s="39" t="s">
        <v>604</v>
      </c>
      <c r="AC23" s="39" t="s">
        <v>601</v>
      </c>
      <c r="AD23" s="39" t="s">
        <v>496</v>
      </c>
      <c r="AE23" s="39">
        <f>IF(AB23="승용차", INDEX('연료 자료'!$C$6:$F$11, MATCH(AD23,'연료 자료'!$B$6:$B$11, 0), MATCH(AC23,'연료 자료'!$C$5:$F$5, 0)), INDEX('연료 자료'!$G$6:$I$11, MATCH(AD23,'연료 자료'!$B$6:$B$11, 0), MATCH(AC23,'연료 자료'!$G$5:$I$5, 0)))</f>
        <v>10</v>
      </c>
      <c r="AF23" s="6">
        <f>VLOOKUP(AD23, 메모!$J$10:$L$19, 3, FALSE)</f>
        <v>2.2709999999999999</v>
      </c>
      <c r="AG23" s="50">
        <f t="shared" si="3"/>
        <v>1.8622199999999998</v>
      </c>
    </row>
    <row r="24" spans="1:33" ht="18.95" customHeight="1" x14ac:dyDescent="0.25">
      <c r="A24" s="41">
        <v>26</v>
      </c>
      <c r="B24" s="6" t="s">
        <v>21</v>
      </c>
      <c r="C24" s="6" t="s">
        <v>160</v>
      </c>
      <c r="D24" s="6" t="s">
        <v>185</v>
      </c>
      <c r="E24" s="6" t="s">
        <v>193</v>
      </c>
      <c r="F24" s="6" t="s">
        <v>196</v>
      </c>
      <c r="G24" s="6" t="s">
        <v>220</v>
      </c>
      <c r="H24" s="55"/>
      <c r="I24" s="56" t="s">
        <v>362</v>
      </c>
      <c r="J24" s="55"/>
      <c r="K24" s="39" t="s">
        <v>365</v>
      </c>
      <c r="L24" s="6" t="b">
        <v>0</v>
      </c>
      <c r="M24" s="6" t="b">
        <v>0</v>
      </c>
      <c r="N24" s="6" t="s">
        <v>358</v>
      </c>
      <c r="O24" s="39"/>
      <c r="P24" s="39"/>
      <c r="Q24" s="39"/>
      <c r="R24" s="39"/>
      <c r="S24" s="39" t="s">
        <v>406</v>
      </c>
      <c r="T24" s="39">
        <v>3</v>
      </c>
      <c r="U24" s="39" t="s">
        <v>688</v>
      </c>
      <c r="V24" s="53"/>
      <c r="W24" s="39"/>
      <c r="X24" s="6">
        <v>8.1999999999999993</v>
      </c>
      <c r="Y24" s="6">
        <f t="shared" si="4"/>
        <v>16.399999999999999</v>
      </c>
      <c r="Z24" s="23" t="s">
        <v>361</v>
      </c>
      <c r="AA24" s="39" t="s">
        <v>446</v>
      </c>
      <c r="AB24" s="39" t="s">
        <v>604</v>
      </c>
      <c r="AC24" s="39" t="s">
        <v>601</v>
      </c>
      <c r="AD24" s="39" t="s">
        <v>496</v>
      </c>
      <c r="AE24" s="39">
        <f>IF(AB24="승용차", INDEX('연료 자료'!$C$6:$F$11, MATCH(AD24,'연료 자료'!$B$6:$B$11, 0), MATCH(AC24,'연료 자료'!$C$5:$F$5, 0)), INDEX('연료 자료'!$G$6:$I$11, MATCH(AD24,'연료 자료'!$B$6:$B$11, 0), MATCH(AC24,'연료 자료'!$G$5:$I$5, 0)))</f>
        <v>10</v>
      </c>
      <c r="AF24" s="6">
        <f>VLOOKUP(AD24, 메모!$J$10:$L$19, 3, FALSE)</f>
        <v>2.2709999999999999</v>
      </c>
      <c r="AG24" s="50">
        <f t="shared" si="3"/>
        <v>3.7244399999999995</v>
      </c>
    </row>
    <row r="25" spans="1:33" ht="18.95" customHeight="1" x14ac:dyDescent="0.25">
      <c r="A25" s="41">
        <v>27</v>
      </c>
      <c r="B25" s="6" t="s">
        <v>22</v>
      </c>
      <c r="C25" s="6" t="s">
        <v>160</v>
      </c>
      <c r="D25" s="6" t="s">
        <v>185</v>
      </c>
      <c r="E25" s="6" t="s">
        <v>193</v>
      </c>
      <c r="F25" s="6" t="s">
        <v>196</v>
      </c>
      <c r="G25" s="6" t="s">
        <v>221</v>
      </c>
      <c r="H25" s="55"/>
      <c r="I25" s="56" t="s">
        <v>362</v>
      </c>
      <c r="J25" s="55"/>
      <c r="K25" s="39" t="s">
        <v>365</v>
      </c>
      <c r="L25" s="6" t="b">
        <v>0</v>
      </c>
      <c r="M25" s="6" t="b">
        <v>0</v>
      </c>
      <c r="N25" s="6" t="s">
        <v>358</v>
      </c>
      <c r="O25" s="39"/>
      <c r="P25" s="39"/>
      <c r="Q25" s="39"/>
      <c r="R25" s="39"/>
      <c r="S25" s="39" t="s">
        <v>406</v>
      </c>
      <c r="T25" s="39">
        <v>3</v>
      </c>
      <c r="U25" s="39" t="s">
        <v>688</v>
      </c>
      <c r="V25" s="53"/>
      <c r="W25" s="39"/>
      <c r="X25" s="6">
        <v>16</v>
      </c>
      <c r="Y25" s="6">
        <f t="shared" si="4"/>
        <v>32</v>
      </c>
      <c r="Z25" s="23" t="s">
        <v>361</v>
      </c>
      <c r="AA25" s="39" t="s">
        <v>440</v>
      </c>
      <c r="AB25" s="39" t="s">
        <v>604</v>
      </c>
      <c r="AC25" s="39" t="s">
        <v>600</v>
      </c>
      <c r="AD25" s="39" t="s">
        <v>496</v>
      </c>
      <c r="AE25" s="39">
        <f>IF(AB25="승용차", INDEX('연료 자료'!$C$6:$F$11, MATCH(AD25,'연료 자료'!$B$6:$B$11, 0), MATCH(AC25,'연료 자료'!$C$5:$F$5, 0)), INDEX('연료 자료'!$G$6:$I$11, MATCH(AD25,'연료 자료'!$B$6:$B$11, 0), MATCH(AC25,'연료 자료'!$G$5:$I$5, 0)))</f>
        <v>12</v>
      </c>
      <c r="AF25" s="6">
        <f>VLOOKUP(AD25, 메모!$J$10:$L$19, 3, FALSE)</f>
        <v>2.2709999999999999</v>
      </c>
      <c r="AG25" s="50">
        <f t="shared" si="3"/>
        <v>6.0559999999999992</v>
      </c>
    </row>
    <row r="26" spans="1:33" ht="18.95" customHeight="1" x14ac:dyDescent="0.25">
      <c r="A26" s="41">
        <v>28</v>
      </c>
      <c r="B26" s="6" t="s">
        <v>23</v>
      </c>
      <c r="C26" s="6" t="s">
        <v>160</v>
      </c>
      <c r="D26" s="6" t="s">
        <v>185</v>
      </c>
      <c r="E26" s="6" t="s">
        <v>193</v>
      </c>
      <c r="F26" s="6" t="s">
        <v>196</v>
      </c>
      <c r="G26" s="6" t="s">
        <v>222</v>
      </c>
      <c r="H26" s="55"/>
      <c r="I26" s="55"/>
      <c r="J26" s="55"/>
      <c r="K26" s="39" t="s">
        <v>365</v>
      </c>
      <c r="L26" s="6" t="b">
        <v>0</v>
      </c>
      <c r="M26" s="6" t="b">
        <v>0</v>
      </c>
      <c r="N26" s="6" t="s">
        <v>358</v>
      </c>
      <c r="O26" s="39"/>
      <c r="P26" s="39"/>
      <c r="Q26" s="39"/>
      <c r="R26" s="39"/>
      <c r="S26" s="39" t="s">
        <v>406</v>
      </c>
      <c r="T26" s="39">
        <v>3</v>
      </c>
      <c r="U26" s="39" t="s">
        <v>688</v>
      </c>
      <c r="V26" s="53"/>
      <c r="W26" s="39"/>
      <c r="X26" s="6">
        <v>11</v>
      </c>
      <c r="Y26" s="6">
        <f t="shared" si="4"/>
        <v>22</v>
      </c>
      <c r="Z26" s="23" t="s">
        <v>361</v>
      </c>
      <c r="AA26" s="39" t="s">
        <v>442</v>
      </c>
      <c r="AB26" s="39" t="s">
        <v>604</v>
      </c>
      <c r="AC26" s="39" t="s">
        <v>601</v>
      </c>
      <c r="AD26" s="39" t="s">
        <v>496</v>
      </c>
      <c r="AE26" s="39">
        <f>IF(AB26="승용차", INDEX('연료 자료'!$C$6:$F$11, MATCH(AD26,'연료 자료'!$B$6:$B$11, 0), MATCH(AC26,'연료 자료'!$C$5:$F$5, 0)), INDEX('연료 자료'!$G$6:$I$11, MATCH(AD26,'연료 자료'!$B$6:$B$11, 0), MATCH(AC26,'연료 자료'!$G$5:$I$5, 0)))</f>
        <v>10</v>
      </c>
      <c r="AF26" s="6">
        <f>VLOOKUP(AD26, 메모!$J$10:$L$19, 3, FALSE)</f>
        <v>2.2709999999999999</v>
      </c>
      <c r="AG26" s="50">
        <f t="shared" si="3"/>
        <v>4.9962</v>
      </c>
    </row>
    <row r="27" spans="1:33" ht="18.95" customHeight="1" x14ac:dyDescent="0.25">
      <c r="A27" s="41">
        <v>29</v>
      </c>
      <c r="B27" s="6" t="s">
        <v>24</v>
      </c>
      <c r="C27" s="6" t="s">
        <v>160</v>
      </c>
      <c r="D27" s="6" t="s">
        <v>185</v>
      </c>
      <c r="E27" s="6" t="s">
        <v>193</v>
      </c>
      <c r="F27" s="6" t="s">
        <v>196</v>
      </c>
      <c r="G27" s="6" t="s">
        <v>223</v>
      </c>
      <c r="H27" s="55"/>
      <c r="I27" s="56" t="s">
        <v>363</v>
      </c>
      <c r="J27" s="55"/>
      <c r="K27" s="39" t="s">
        <v>365</v>
      </c>
      <c r="L27" s="6" t="b">
        <v>0</v>
      </c>
      <c r="M27" s="6" t="b">
        <v>0</v>
      </c>
      <c r="N27" s="6" t="s">
        <v>358</v>
      </c>
      <c r="O27" s="39"/>
      <c r="P27" s="39"/>
      <c r="Q27" s="39"/>
      <c r="R27" s="39"/>
      <c r="S27" s="39" t="s">
        <v>406</v>
      </c>
      <c r="T27" s="39">
        <v>3</v>
      </c>
      <c r="U27" s="39" t="s">
        <v>688</v>
      </c>
      <c r="V27" s="53"/>
      <c r="W27" s="39"/>
      <c r="X27" s="6">
        <v>31</v>
      </c>
      <c r="Y27" s="6">
        <f t="shared" si="4"/>
        <v>62</v>
      </c>
      <c r="Z27" s="23" t="s">
        <v>361</v>
      </c>
      <c r="AA27" s="39" t="s">
        <v>434</v>
      </c>
      <c r="AB27" s="39" t="s">
        <v>604</v>
      </c>
      <c r="AC27" s="39" t="s">
        <v>601</v>
      </c>
      <c r="AD27" s="39" t="s">
        <v>496</v>
      </c>
      <c r="AE27" s="39">
        <f>IF(AB27="승용차", INDEX('연료 자료'!$C$6:$F$11, MATCH(AD27,'연료 자료'!$B$6:$B$11, 0), MATCH(AC27,'연료 자료'!$C$5:$F$5, 0)), INDEX('연료 자료'!$G$6:$I$11, MATCH(AD27,'연료 자료'!$B$6:$B$11, 0), MATCH(AC27,'연료 자료'!$G$5:$I$5, 0)))</f>
        <v>10</v>
      </c>
      <c r="AF27" s="6">
        <f>VLOOKUP(AD27, 메모!$J$10:$L$19, 3, FALSE)</f>
        <v>2.2709999999999999</v>
      </c>
      <c r="AG27" s="50">
        <f t="shared" si="3"/>
        <v>14.0802</v>
      </c>
    </row>
    <row r="28" spans="1:33" ht="18.95" customHeight="1" x14ac:dyDescent="0.25">
      <c r="A28" s="41">
        <v>30</v>
      </c>
      <c r="B28" s="6" t="s">
        <v>25</v>
      </c>
      <c r="C28" s="6" t="s">
        <v>160</v>
      </c>
      <c r="D28" s="6" t="s">
        <v>185</v>
      </c>
      <c r="E28" s="6" t="s">
        <v>193</v>
      </c>
      <c r="F28" s="6" t="s">
        <v>196</v>
      </c>
      <c r="G28" s="6" t="s">
        <v>224</v>
      </c>
      <c r="H28" s="55"/>
      <c r="I28" s="56" t="s">
        <v>363</v>
      </c>
      <c r="J28" s="55"/>
      <c r="K28" s="39" t="s">
        <v>365</v>
      </c>
      <c r="L28" s="6" t="b">
        <v>0</v>
      </c>
      <c r="M28" s="6" t="b">
        <v>0</v>
      </c>
      <c r="N28" s="6" t="s">
        <v>358</v>
      </c>
      <c r="O28" s="39"/>
      <c r="P28" s="39"/>
      <c r="Q28" s="39"/>
      <c r="R28" s="39"/>
      <c r="S28" s="39" t="s">
        <v>406</v>
      </c>
      <c r="T28" s="39">
        <v>3</v>
      </c>
      <c r="U28" s="39" t="s">
        <v>688</v>
      </c>
      <c r="V28" s="53"/>
      <c r="W28" s="39"/>
      <c r="X28" s="6">
        <v>6.9</v>
      </c>
      <c r="Y28" s="6">
        <f t="shared" si="4"/>
        <v>13.8</v>
      </c>
      <c r="Z28" s="23" t="s">
        <v>361</v>
      </c>
      <c r="AA28" s="39" t="s">
        <v>445</v>
      </c>
      <c r="AB28" s="39" t="s">
        <v>604</v>
      </c>
      <c r="AC28" s="39" t="s">
        <v>601</v>
      </c>
      <c r="AD28" s="39" t="s">
        <v>499</v>
      </c>
      <c r="AE28" s="39">
        <f>IF(AB28="승용차", INDEX('연료 자료'!$C$6:$F$11, MATCH(AD28,'연료 자료'!$B$6:$B$11, 0), MATCH(AC28,'연료 자료'!$C$5:$F$5, 0)), INDEX('연료 자료'!$G$6:$I$11, MATCH(AD28,'연료 자료'!$B$6:$B$11, 0), MATCH(AC28,'연료 자료'!$G$5:$I$5, 0)))</f>
        <v>13</v>
      </c>
      <c r="AF28" s="6">
        <f>VLOOKUP(AD28, 메모!$J$10:$L$19, 3, FALSE)</f>
        <v>2.6139999999999999</v>
      </c>
      <c r="AG28" s="50">
        <f t="shared" si="3"/>
        <v>2.7748615384615385</v>
      </c>
    </row>
    <row r="29" spans="1:33" ht="18.95" customHeight="1" x14ac:dyDescent="0.25">
      <c r="A29" s="41">
        <v>31</v>
      </c>
      <c r="B29" s="6" t="s">
        <v>26</v>
      </c>
      <c r="C29" s="6" t="s">
        <v>160</v>
      </c>
      <c r="D29" s="6" t="s">
        <v>185</v>
      </c>
      <c r="E29" s="6" t="s">
        <v>193</v>
      </c>
      <c r="F29" s="6" t="s">
        <v>196</v>
      </c>
      <c r="G29" s="6" t="s">
        <v>225</v>
      </c>
      <c r="H29" s="55"/>
      <c r="I29" s="56" t="s">
        <v>363</v>
      </c>
      <c r="J29" s="55"/>
      <c r="K29" s="39" t="s">
        <v>365</v>
      </c>
      <c r="L29" s="6" t="b">
        <v>0</v>
      </c>
      <c r="M29" s="6" t="b">
        <v>0</v>
      </c>
      <c r="N29" s="6" t="s">
        <v>358</v>
      </c>
      <c r="O29" s="39"/>
      <c r="P29" s="39"/>
      <c r="Q29" s="39"/>
      <c r="R29" s="39"/>
      <c r="S29" s="39" t="s">
        <v>406</v>
      </c>
      <c r="T29" s="39">
        <v>3</v>
      </c>
      <c r="U29" s="39" t="s">
        <v>688</v>
      </c>
      <c r="V29" s="53"/>
      <c r="W29" s="39"/>
      <c r="X29" s="6">
        <v>6.9</v>
      </c>
      <c r="Y29" s="6">
        <f t="shared" si="4"/>
        <v>13.8</v>
      </c>
      <c r="Z29" s="23" t="s">
        <v>361</v>
      </c>
      <c r="AA29" s="39" t="s">
        <v>441</v>
      </c>
      <c r="AB29" s="39" t="s">
        <v>604</v>
      </c>
      <c r="AC29" s="39" t="s">
        <v>599</v>
      </c>
      <c r="AD29" s="39" t="s">
        <v>496</v>
      </c>
      <c r="AE29" s="39">
        <f>IF(AB29="승용차", INDEX('연료 자료'!$C$6:$F$11, MATCH(AD29,'연료 자료'!$B$6:$B$11, 0), MATCH(AC29,'연료 자료'!$C$5:$F$5, 0)), INDEX('연료 자료'!$G$6:$I$11, MATCH(AD29,'연료 자료'!$B$6:$B$11, 0), MATCH(AC29,'연료 자료'!$G$5:$I$5, 0)))</f>
        <v>14</v>
      </c>
      <c r="AF29" s="6">
        <f>VLOOKUP(AD29, 메모!$J$10:$L$19, 3, FALSE)</f>
        <v>2.2709999999999999</v>
      </c>
      <c r="AG29" s="50">
        <f t="shared" si="3"/>
        <v>2.2385571428571427</v>
      </c>
    </row>
    <row r="30" spans="1:33" ht="18.95" customHeight="1" x14ac:dyDescent="0.25">
      <c r="A30" s="41">
        <v>32</v>
      </c>
      <c r="B30" s="6" t="s">
        <v>27</v>
      </c>
      <c r="C30" s="6" t="s">
        <v>160</v>
      </c>
      <c r="D30" s="6" t="s">
        <v>185</v>
      </c>
      <c r="E30" s="6" t="s">
        <v>193</v>
      </c>
      <c r="F30" s="6" t="s">
        <v>196</v>
      </c>
      <c r="G30" s="6" t="s">
        <v>226</v>
      </c>
      <c r="H30" s="55"/>
      <c r="I30" s="56" t="s">
        <v>364</v>
      </c>
      <c r="J30" s="55"/>
      <c r="K30" s="39" t="s">
        <v>365</v>
      </c>
      <c r="L30" s="6" t="b">
        <v>0</v>
      </c>
      <c r="M30" s="6" t="b">
        <v>0</v>
      </c>
      <c r="N30" s="6" t="s">
        <v>358</v>
      </c>
      <c r="O30" s="39"/>
      <c r="P30" s="39"/>
      <c r="Q30" s="39"/>
      <c r="R30" s="39"/>
      <c r="S30" s="39" t="s">
        <v>406</v>
      </c>
      <c r="T30" s="39">
        <v>3</v>
      </c>
      <c r="U30" s="39" t="s">
        <v>688</v>
      </c>
      <c r="V30" s="53"/>
      <c r="W30" s="39"/>
      <c r="X30" s="6">
        <v>6.5</v>
      </c>
      <c r="Y30" s="6">
        <f t="shared" si="4"/>
        <v>13</v>
      </c>
      <c r="Z30" s="23" t="s">
        <v>361</v>
      </c>
      <c r="AA30" s="39" t="s">
        <v>447</v>
      </c>
      <c r="AB30" s="39" t="s">
        <v>605</v>
      </c>
      <c r="AC30" s="39" t="s">
        <v>603</v>
      </c>
      <c r="AD30" s="39" t="s">
        <v>499</v>
      </c>
      <c r="AE30" s="39">
        <f>IF(AB30="승용차", INDEX('연료 자료'!$C$6:$F$11, MATCH(AD30,'연료 자료'!$B$6:$B$11, 0), MATCH(AC30,'연료 자료'!$C$5:$F$5, 0)), INDEX('연료 자료'!$G$6:$I$11, MATCH(AD30,'연료 자료'!$B$6:$B$11, 0), MATCH(AC30,'연료 자료'!$G$5:$I$5, 0)))</f>
        <v>9</v>
      </c>
      <c r="AF30" s="6">
        <f>VLOOKUP(AD30, 메모!$J$10:$L$19, 3, FALSE)</f>
        <v>2.6139999999999999</v>
      </c>
      <c r="AG30" s="50">
        <f t="shared" si="3"/>
        <v>3.7757777777777775</v>
      </c>
    </row>
    <row r="31" spans="1:33" ht="18.95" customHeight="1" x14ac:dyDescent="0.25">
      <c r="A31" s="41">
        <v>33</v>
      </c>
      <c r="B31" s="6" t="s">
        <v>28</v>
      </c>
      <c r="C31" s="6" t="s">
        <v>160</v>
      </c>
      <c r="D31" s="6" t="s">
        <v>185</v>
      </c>
      <c r="E31" s="6" t="s">
        <v>193</v>
      </c>
      <c r="F31" s="6" t="s">
        <v>196</v>
      </c>
      <c r="G31" s="6" t="s">
        <v>227</v>
      </c>
      <c r="H31" s="55"/>
      <c r="I31" s="55"/>
      <c r="J31" s="55"/>
      <c r="K31" s="39" t="s">
        <v>365</v>
      </c>
      <c r="L31" s="6" t="b">
        <v>0</v>
      </c>
      <c r="M31" s="6" t="b">
        <v>0</v>
      </c>
      <c r="N31" s="6" t="s">
        <v>358</v>
      </c>
      <c r="O31" s="39"/>
      <c r="P31" s="39"/>
      <c r="Q31" s="39"/>
      <c r="R31" s="39"/>
      <c r="S31" s="39" t="s">
        <v>406</v>
      </c>
      <c r="T31" s="39">
        <v>3</v>
      </c>
      <c r="U31" s="39" t="s">
        <v>688</v>
      </c>
      <c r="V31" s="53"/>
      <c r="W31" s="39"/>
      <c r="X31" s="6">
        <v>22</v>
      </c>
      <c r="Y31" s="6">
        <f t="shared" si="4"/>
        <v>44</v>
      </c>
      <c r="Z31" s="23" t="s">
        <v>361</v>
      </c>
      <c r="AA31" s="39" t="s">
        <v>448</v>
      </c>
      <c r="AB31" s="39" t="s">
        <v>604</v>
      </c>
      <c r="AC31" s="39" t="s">
        <v>602</v>
      </c>
      <c r="AD31" s="39" t="s">
        <v>499</v>
      </c>
      <c r="AE31" s="39">
        <f>IF(AB31="승용차", INDEX('연료 자료'!$C$6:$F$11, MATCH(AD31,'연료 자료'!$B$6:$B$11, 0), MATCH(AC31,'연료 자료'!$C$5:$F$5, 0)), INDEX('연료 자료'!$G$6:$I$11, MATCH(AD31,'연료 자료'!$B$6:$B$11, 0), MATCH(AC31,'연료 자료'!$G$5:$I$5, 0)))</f>
        <v>10</v>
      </c>
      <c r="AF31" s="6">
        <f>VLOOKUP(AD31, 메모!$J$10:$L$19, 3, FALSE)</f>
        <v>2.6139999999999999</v>
      </c>
      <c r="AG31" s="50">
        <f t="shared" si="3"/>
        <v>11.5016</v>
      </c>
    </row>
    <row r="32" spans="1:33" ht="18.95" customHeight="1" x14ac:dyDescent="0.25">
      <c r="A32" s="41">
        <v>34</v>
      </c>
      <c r="B32" s="6" t="s">
        <v>29</v>
      </c>
      <c r="C32" s="6" t="s">
        <v>160</v>
      </c>
      <c r="D32" s="6" t="s">
        <v>185</v>
      </c>
      <c r="E32" s="6" t="s">
        <v>193</v>
      </c>
      <c r="F32" s="6" t="s">
        <v>196</v>
      </c>
      <c r="G32" s="6" t="s">
        <v>228</v>
      </c>
      <c r="H32" s="55"/>
      <c r="I32" s="55"/>
      <c r="J32" s="55"/>
      <c r="K32" s="39" t="s">
        <v>365</v>
      </c>
      <c r="L32" s="6" t="b">
        <v>0</v>
      </c>
      <c r="M32" s="6" t="b">
        <v>0</v>
      </c>
      <c r="N32" s="6" t="s">
        <v>358</v>
      </c>
      <c r="O32" s="39"/>
      <c r="P32" s="39"/>
      <c r="Q32" s="39"/>
      <c r="R32" s="39"/>
      <c r="S32" s="39" t="s">
        <v>406</v>
      </c>
      <c r="T32" s="39">
        <v>3</v>
      </c>
      <c r="U32" s="39" t="s">
        <v>688</v>
      </c>
      <c r="V32" s="53"/>
      <c r="W32" s="39"/>
      <c r="X32" s="6">
        <v>22</v>
      </c>
      <c r="Y32" s="6">
        <f t="shared" si="4"/>
        <v>44</v>
      </c>
      <c r="Z32" s="23" t="s">
        <v>361</v>
      </c>
      <c r="AA32" s="39" t="s">
        <v>449</v>
      </c>
      <c r="AB32" s="39" t="s">
        <v>604</v>
      </c>
      <c r="AC32" s="39" t="s">
        <v>601</v>
      </c>
      <c r="AD32" s="39" t="s">
        <v>503</v>
      </c>
      <c r="AE32" s="39">
        <f>IF(AB32="승용차", INDEX('연료 자료'!$C$6:$F$11, MATCH(AD32,'연료 자료'!$B$6:$B$11, 0), MATCH(AC32,'연료 자료'!$C$5:$F$5, 0)), INDEX('연료 자료'!$G$6:$I$11, MATCH(AD32,'연료 자료'!$B$6:$B$11, 0), MATCH(AC32,'연료 자료'!$G$5:$I$5, 0)))</f>
        <v>7</v>
      </c>
      <c r="AF32" s="6">
        <f>VLOOKUP(AD32, 메모!$J$10:$L$19, 3, FALSE)</f>
        <v>1.6</v>
      </c>
      <c r="AG32" s="50">
        <f t="shared" si="3"/>
        <v>10.057142857142857</v>
      </c>
    </row>
    <row r="33" spans="1:33" ht="18.95" customHeight="1" x14ac:dyDescent="0.25">
      <c r="A33" s="41">
        <v>35</v>
      </c>
      <c r="B33" s="6" t="s">
        <v>30</v>
      </c>
      <c r="C33" s="6" t="s">
        <v>160</v>
      </c>
      <c r="D33" s="6" t="s">
        <v>185</v>
      </c>
      <c r="E33" s="6" t="s">
        <v>193</v>
      </c>
      <c r="F33" s="6" t="s">
        <v>196</v>
      </c>
      <c r="G33" s="6" t="s">
        <v>229</v>
      </c>
      <c r="H33" s="55"/>
      <c r="I33" s="56" t="s">
        <v>363</v>
      </c>
      <c r="J33" s="55"/>
      <c r="K33" s="39" t="s">
        <v>365</v>
      </c>
      <c r="L33" s="6" t="b">
        <v>0</v>
      </c>
      <c r="M33" s="6" t="b">
        <v>0</v>
      </c>
      <c r="N33" s="6" t="s">
        <v>358</v>
      </c>
      <c r="O33" s="39"/>
      <c r="P33" s="39"/>
      <c r="Q33" s="39"/>
      <c r="R33" s="39"/>
      <c r="S33" s="39" t="s">
        <v>406</v>
      </c>
      <c r="T33" s="39">
        <v>3</v>
      </c>
      <c r="U33" s="39" t="s">
        <v>688</v>
      </c>
      <c r="V33" s="53"/>
      <c r="W33" s="39"/>
      <c r="X33" s="6">
        <v>0.9</v>
      </c>
      <c r="Y33" s="6">
        <f t="shared" si="4"/>
        <v>1.8</v>
      </c>
      <c r="Z33" s="23" t="s">
        <v>361</v>
      </c>
      <c r="AA33" s="39" t="s">
        <v>434</v>
      </c>
      <c r="AB33" s="39" t="s">
        <v>604</v>
      </c>
      <c r="AC33" s="39" t="s">
        <v>601</v>
      </c>
      <c r="AD33" s="39" t="s">
        <v>496</v>
      </c>
      <c r="AE33" s="39">
        <f>IF(AB33="승용차", INDEX('연료 자료'!$C$6:$F$11, MATCH(AD33,'연료 자료'!$B$6:$B$11, 0), MATCH(AC33,'연료 자료'!$C$5:$F$5, 0)), INDEX('연료 자료'!$G$6:$I$11, MATCH(AD33,'연료 자료'!$B$6:$B$11, 0), MATCH(AC33,'연료 자료'!$G$5:$I$5, 0)))</f>
        <v>10</v>
      </c>
      <c r="AF33" s="6">
        <f>VLOOKUP(AD33, 메모!$J$10:$L$19, 3, FALSE)</f>
        <v>2.2709999999999999</v>
      </c>
      <c r="AG33" s="50">
        <f t="shared" si="3"/>
        <v>0.40877999999999998</v>
      </c>
    </row>
    <row r="34" spans="1:33" ht="18.95" customHeight="1" x14ac:dyDescent="0.25">
      <c r="A34" s="41">
        <v>36</v>
      </c>
      <c r="B34" s="6" t="s">
        <v>31</v>
      </c>
      <c r="C34" s="6" t="s">
        <v>160</v>
      </c>
      <c r="D34" s="6" t="s">
        <v>185</v>
      </c>
      <c r="E34" s="6" t="s">
        <v>193</v>
      </c>
      <c r="F34" s="6" t="s">
        <v>196</v>
      </c>
      <c r="G34" s="6" t="s">
        <v>230</v>
      </c>
      <c r="H34" s="55"/>
      <c r="I34" s="55"/>
      <c r="J34" s="55"/>
      <c r="K34" s="39" t="s">
        <v>365</v>
      </c>
      <c r="L34" s="6" t="b">
        <v>0</v>
      </c>
      <c r="M34" s="6" t="b">
        <v>0</v>
      </c>
      <c r="N34" s="6" t="s">
        <v>358</v>
      </c>
      <c r="O34" s="39"/>
      <c r="P34" s="39"/>
      <c r="Q34" s="39"/>
      <c r="R34" s="39"/>
      <c r="S34" s="39" t="s">
        <v>406</v>
      </c>
      <c r="T34" s="39">
        <v>3</v>
      </c>
      <c r="U34" s="39" t="s">
        <v>688</v>
      </c>
      <c r="V34" s="53"/>
      <c r="W34" s="39"/>
      <c r="X34" s="6">
        <v>9.9</v>
      </c>
      <c r="Y34" s="6">
        <f t="shared" si="4"/>
        <v>19.8</v>
      </c>
      <c r="Z34" s="23" t="s">
        <v>361</v>
      </c>
      <c r="AA34" s="39" t="s">
        <v>450</v>
      </c>
      <c r="AB34" s="39" t="s">
        <v>604</v>
      </c>
      <c r="AC34" s="39" t="s">
        <v>602</v>
      </c>
      <c r="AD34" s="39" t="s">
        <v>496</v>
      </c>
      <c r="AE34" s="39">
        <f>IF(AB34="승용차", INDEX('연료 자료'!$C$6:$F$11, MATCH(AD34,'연료 자료'!$B$6:$B$11, 0), MATCH(AC34,'연료 자료'!$C$5:$F$5, 0)), INDEX('연료 자료'!$G$6:$I$11, MATCH(AD34,'연료 자료'!$B$6:$B$11, 0), MATCH(AC34,'연료 자료'!$G$5:$I$5, 0)))</f>
        <v>7</v>
      </c>
      <c r="AF34" s="6">
        <f>VLOOKUP(AD34, 메모!$J$10:$L$19, 3, FALSE)</f>
        <v>2.2709999999999999</v>
      </c>
      <c r="AG34" s="50">
        <f t="shared" si="3"/>
        <v>6.423685714285714</v>
      </c>
    </row>
    <row r="35" spans="1:33" ht="18.95" customHeight="1" x14ac:dyDescent="0.25">
      <c r="A35" s="41">
        <v>37</v>
      </c>
      <c r="B35" s="6" t="s">
        <v>32</v>
      </c>
      <c r="C35" s="6" t="s">
        <v>160</v>
      </c>
      <c r="D35" s="6" t="s">
        <v>185</v>
      </c>
      <c r="E35" s="6" t="s">
        <v>193</v>
      </c>
      <c r="F35" s="6" t="s">
        <v>196</v>
      </c>
      <c r="G35" s="6" t="s">
        <v>231</v>
      </c>
      <c r="H35" s="55"/>
      <c r="I35" s="55"/>
      <c r="J35" s="55"/>
      <c r="K35" s="39" t="s">
        <v>365</v>
      </c>
      <c r="L35" s="6" t="b">
        <v>0</v>
      </c>
      <c r="M35" s="6" t="b">
        <v>0</v>
      </c>
      <c r="N35" s="6" t="s">
        <v>358</v>
      </c>
      <c r="O35" s="39"/>
      <c r="P35" s="39"/>
      <c r="Q35" s="39"/>
      <c r="R35" s="39"/>
      <c r="S35" s="39" t="s">
        <v>406</v>
      </c>
      <c r="T35" s="39">
        <v>3</v>
      </c>
      <c r="U35" s="39" t="s">
        <v>688</v>
      </c>
      <c r="V35" s="53"/>
      <c r="W35" s="39"/>
      <c r="X35" s="6">
        <v>11</v>
      </c>
      <c r="Y35" s="6">
        <f t="shared" si="4"/>
        <v>22</v>
      </c>
      <c r="Z35" s="23" t="s">
        <v>361</v>
      </c>
      <c r="AA35" s="39" t="s">
        <v>451</v>
      </c>
      <c r="AB35" s="39" t="s">
        <v>604</v>
      </c>
      <c r="AC35" s="39" t="s">
        <v>601</v>
      </c>
      <c r="AD35" s="39" t="s">
        <v>496</v>
      </c>
      <c r="AE35" s="39">
        <f>IF(AB35="승용차", INDEX('연료 자료'!$C$6:$F$11, MATCH(AD35,'연료 자료'!$B$6:$B$11, 0), MATCH(AC35,'연료 자료'!$C$5:$F$5, 0)), INDEX('연료 자료'!$G$6:$I$11, MATCH(AD35,'연료 자료'!$B$6:$B$11, 0), MATCH(AC35,'연료 자료'!$G$5:$I$5, 0)))</f>
        <v>10</v>
      </c>
      <c r="AF35" s="6">
        <f>VLOOKUP(AD35, 메모!$J$10:$L$19, 3, FALSE)</f>
        <v>2.2709999999999999</v>
      </c>
      <c r="AG35" s="50">
        <f t="shared" si="3"/>
        <v>4.9962</v>
      </c>
    </row>
    <row r="36" spans="1:33" ht="18.95" customHeight="1" x14ac:dyDescent="0.25">
      <c r="A36" s="41">
        <v>38</v>
      </c>
      <c r="B36" s="6" t="s">
        <v>33</v>
      </c>
      <c r="C36" s="6" t="s">
        <v>160</v>
      </c>
      <c r="D36" s="6" t="s">
        <v>185</v>
      </c>
      <c r="E36" s="6" t="s">
        <v>193</v>
      </c>
      <c r="F36" s="6" t="s">
        <v>196</v>
      </c>
      <c r="G36" s="6" t="s">
        <v>232</v>
      </c>
      <c r="H36" s="55"/>
      <c r="I36" s="56" t="s">
        <v>362</v>
      </c>
      <c r="J36" s="55"/>
      <c r="K36" s="39" t="s">
        <v>365</v>
      </c>
      <c r="L36" s="6" t="b">
        <v>0</v>
      </c>
      <c r="M36" s="6" t="b">
        <v>0</v>
      </c>
      <c r="N36" s="6" t="s">
        <v>358</v>
      </c>
      <c r="O36" s="39"/>
      <c r="P36" s="39"/>
      <c r="Q36" s="39"/>
      <c r="R36" s="39"/>
      <c r="S36" s="39" t="s">
        <v>406</v>
      </c>
      <c r="T36" s="39">
        <v>3</v>
      </c>
      <c r="U36" s="39" t="s">
        <v>688</v>
      </c>
      <c r="V36" s="53"/>
      <c r="W36" s="39"/>
      <c r="X36" s="6">
        <v>11</v>
      </c>
      <c r="Y36" s="6">
        <f t="shared" si="4"/>
        <v>22</v>
      </c>
      <c r="Z36" s="23" t="s">
        <v>361</v>
      </c>
      <c r="AA36" s="39" t="s">
        <v>452</v>
      </c>
      <c r="AB36" s="39" t="s">
        <v>604</v>
      </c>
      <c r="AC36" s="39" t="s">
        <v>600</v>
      </c>
      <c r="AD36" s="39" t="s">
        <v>496</v>
      </c>
      <c r="AE36" s="39">
        <f>IF(AB36="승용차", INDEX('연료 자료'!$C$6:$F$11, MATCH(AD36,'연료 자료'!$B$6:$B$11, 0), MATCH(AC36,'연료 자료'!$C$5:$F$5, 0)), INDEX('연료 자료'!$G$6:$I$11, MATCH(AD36,'연료 자료'!$B$6:$B$11, 0), MATCH(AC36,'연료 자료'!$G$5:$I$5, 0)))</f>
        <v>12</v>
      </c>
      <c r="AF36" s="6">
        <f>VLOOKUP(AD36, 메모!$J$10:$L$19, 3, FALSE)</f>
        <v>2.2709999999999999</v>
      </c>
      <c r="AG36" s="50">
        <f t="shared" si="3"/>
        <v>4.1635</v>
      </c>
    </row>
    <row r="37" spans="1:33" ht="18.95" customHeight="1" x14ac:dyDescent="0.25">
      <c r="A37" s="41">
        <v>39</v>
      </c>
      <c r="B37" s="6" t="s">
        <v>34</v>
      </c>
      <c r="C37" s="6" t="s">
        <v>160</v>
      </c>
      <c r="D37" s="6" t="s">
        <v>185</v>
      </c>
      <c r="E37" s="6" t="s">
        <v>193</v>
      </c>
      <c r="F37" s="6" t="s">
        <v>196</v>
      </c>
      <c r="G37" s="6" t="s">
        <v>233</v>
      </c>
      <c r="H37" s="55"/>
      <c r="I37" s="56" t="s">
        <v>362</v>
      </c>
      <c r="J37" s="55"/>
      <c r="K37" s="39" t="s">
        <v>365</v>
      </c>
      <c r="L37" s="6" t="b">
        <v>0</v>
      </c>
      <c r="M37" s="6" t="b">
        <v>0</v>
      </c>
      <c r="N37" s="6" t="s">
        <v>358</v>
      </c>
      <c r="O37" s="39"/>
      <c r="P37" s="39"/>
      <c r="Q37" s="39"/>
      <c r="R37" s="39"/>
      <c r="S37" s="39" t="s">
        <v>406</v>
      </c>
      <c r="T37" s="39">
        <v>3</v>
      </c>
      <c r="U37" s="39" t="s">
        <v>688</v>
      </c>
      <c r="V37" s="53"/>
      <c r="W37" s="39"/>
      <c r="X37" s="6">
        <v>11</v>
      </c>
      <c r="Y37" s="6">
        <f t="shared" si="4"/>
        <v>22</v>
      </c>
      <c r="Z37" s="23" t="s">
        <v>361</v>
      </c>
      <c r="AA37" s="39" t="s">
        <v>432</v>
      </c>
      <c r="AB37" s="39" t="s">
        <v>604</v>
      </c>
      <c r="AC37" s="39" t="s">
        <v>602</v>
      </c>
      <c r="AD37" s="39" t="s">
        <v>496</v>
      </c>
      <c r="AE37" s="39">
        <f>IF(AB37="승용차", INDEX('연료 자료'!$C$6:$F$11, MATCH(AD37,'연료 자료'!$B$6:$B$11, 0), MATCH(AC37,'연료 자료'!$C$5:$F$5, 0)), INDEX('연료 자료'!$G$6:$I$11, MATCH(AD37,'연료 자료'!$B$6:$B$11, 0), MATCH(AC37,'연료 자료'!$G$5:$I$5, 0)))</f>
        <v>7</v>
      </c>
      <c r="AF37" s="6">
        <f>VLOOKUP(AD37, 메모!$J$10:$L$19, 3, FALSE)</f>
        <v>2.2709999999999999</v>
      </c>
      <c r="AG37" s="50">
        <f t="shared" si="3"/>
        <v>7.137428571428571</v>
      </c>
    </row>
    <row r="38" spans="1:33" ht="18.95" customHeight="1" x14ac:dyDescent="0.25">
      <c r="A38" s="41">
        <v>184</v>
      </c>
      <c r="B38" s="6" t="s">
        <v>126</v>
      </c>
      <c r="C38" s="6" t="s">
        <v>167</v>
      </c>
      <c r="D38" s="6" t="s">
        <v>185</v>
      </c>
      <c r="E38" s="6" t="s">
        <v>193</v>
      </c>
      <c r="F38" s="6" t="s">
        <v>196</v>
      </c>
      <c r="G38" s="44" t="s">
        <v>408</v>
      </c>
      <c r="H38" s="55"/>
      <c r="I38" s="55"/>
      <c r="J38" s="55"/>
      <c r="K38" s="39" t="s">
        <v>365</v>
      </c>
      <c r="L38" s="6" t="b">
        <v>0</v>
      </c>
      <c r="M38" s="6" t="b">
        <v>0</v>
      </c>
      <c r="N38" s="6" t="s">
        <v>358</v>
      </c>
      <c r="O38" s="39"/>
      <c r="P38" s="39"/>
      <c r="Q38" s="39"/>
      <c r="R38" s="39"/>
      <c r="S38" s="39" t="s">
        <v>406</v>
      </c>
      <c r="T38" s="39">
        <v>3</v>
      </c>
      <c r="U38" s="39" t="s">
        <v>688</v>
      </c>
      <c r="V38" s="53"/>
      <c r="W38" s="39"/>
      <c r="X38" s="6">
        <v>9.3000000000000007</v>
      </c>
      <c r="Y38" s="6">
        <f>X38*2</f>
        <v>18.600000000000001</v>
      </c>
      <c r="Z38" s="6"/>
      <c r="AA38" s="39" t="s">
        <v>435</v>
      </c>
      <c r="AB38" s="39" t="s">
        <v>604</v>
      </c>
      <c r="AC38" s="39" t="s">
        <v>601</v>
      </c>
      <c r="AD38" s="39" t="s">
        <v>496</v>
      </c>
      <c r="AE38" s="39">
        <f>IF(AB38="승용차", INDEX('연료 자료'!$C$6:$F$11, MATCH(AD38,'연료 자료'!$B$6:$B$11, 0), MATCH(AC38,'연료 자료'!$C$5:$F$5, 0)), INDEX('연료 자료'!$G$6:$I$11, MATCH(AD38,'연료 자료'!$B$6:$B$11, 0), MATCH(AC38,'연료 자료'!$G$5:$I$5, 0)))</f>
        <v>10</v>
      </c>
      <c r="AF38" s="6">
        <f>VLOOKUP(AD38, 메모!$J$10:$L$19, 3, FALSE)</f>
        <v>2.2709999999999999</v>
      </c>
      <c r="AG38" s="50">
        <f t="shared" si="3"/>
        <v>2.1120299999999999</v>
      </c>
    </row>
    <row r="39" spans="1:33" ht="18.95" customHeight="1" x14ac:dyDescent="0.25">
      <c r="A39" s="41">
        <v>158</v>
      </c>
      <c r="B39" s="6" t="s">
        <v>113</v>
      </c>
      <c r="C39" s="6" t="s">
        <v>164</v>
      </c>
      <c r="D39" s="6" t="s">
        <v>185</v>
      </c>
      <c r="E39" s="6" t="s">
        <v>193</v>
      </c>
      <c r="F39" s="6" t="s">
        <v>196</v>
      </c>
      <c r="G39" s="6" t="s">
        <v>311</v>
      </c>
      <c r="H39" s="55"/>
      <c r="I39" s="55"/>
      <c r="J39" s="55"/>
      <c r="K39" s="39" t="s">
        <v>365</v>
      </c>
      <c r="L39" s="6" t="b">
        <v>0</v>
      </c>
      <c r="M39" s="6" t="b">
        <v>0</v>
      </c>
      <c r="N39" s="6" t="s">
        <v>358</v>
      </c>
      <c r="O39" s="39"/>
      <c r="P39" s="39"/>
      <c r="Q39" s="39"/>
      <c r="R39" s="39"/>
      <c r="S39" s="39" t="s">
        <v>406</v>
      </c>
      <c r="T39" s="39">
        <v>3</v>
      </c>
      <c r="U39" s="39" t="s">
        <v>688</v>
      </c>
      <c r="V39" s="53"/>
      <c r="W39" s="39"/>
      <c r="X39" s="6">
        <v>13</v>
      </c>
      <c r="Y39" s="6">
        <f t="shared" ref="Y39:Y49" si="5">X39*2</f>
        <v>26</v>
      </c>
      <c r="Z39" s="6"/>
      <c r="AA39" s="39" t="s">
        <v>486</v>
      </c>
      <c r="AB39" s="39" t="s">
        <v>604</v>
      </c>
      <c r="AC39" s="39" t="s">
        <v>600</v>
      </c>
      <c r="AD39" s="39" t="s">
        <v>496</v>
      </c>
      <c r="AE39" s="39">
        <f>IF(AB39="승용차", INDEX('연료 자료'!$C$6:$F$11, MATCH(AD39,'연료 자료'!$B$6:$B$11, 0), MATCH(AC39,'연료 자료'!$C$5:$F$5, 0)), INDEX('연료 자료'!$G$6:$I$11, MATCH(AD39,'연료 자료'!$B$6:$B$11, 0), MATCH(AC39,'연료 자료'!$G$5:$I$5, 0)))</f>
        <v>12</v>
      </c>
      <c r="AF39" s="6">
        <f>VLOOKUP(AD39, 메모!$J$10:$L$19, 3, FALSE)</f>
        <v>2.2709999999999999</v>
      </c>
      <c r="AG39" s="50">
        <f t="shared" si="3"/>
        <v>2.4602499999999998</v>
      </c>
    </row>
    <row r="40" spans="1:33" ht="18.95" customHeight="1" x14ac:dyDescent="0.25">
      <c r="A40" s="41">
        <v>159</v>
      </c>
      <c r="B40" s="6" t="s">
        <v>114</v>
      </c>
      <c r="C40" s="6" t="s">
        <v>164</v>
      </c>
      <c r="D40" s="6" t="s">
        <v>185</v>
      </c>
      <c r="E40" s="6" t="s">
        <v>193</v>
      </c>
      <c r="F40" s="6" t="s">
        <v>196</v>
      </c>
      <c r="G40" s="6" t="s">
        <v>312</v>
      </c>
      <c r="H40" s="55"/>
      <c r="I40" s="55"/>
      <c r="J40" s="55"/>
      <c r="K40" s="39" t="s">
        <v>365</v>
      </c>
      <c r="L40" s="6" t="b">
        <v>0</v>
      </c>
      <c r="M40" s="6" t="b">
        <v>0</v>
      </c>
      <c r="N40" s="6" t="s">
        <v>358</v>
      </c>
      <c r="O40" s="39"/>
      <c r="P40" s="39"/>
      <c r="Q40" s="39"/>
      <c r="R40" s="39"/>
      <c r="S40" s="39" t="s">
        <v>406</v>
      </c>
      <c r="T40" s="39">
        <v>3</v>
      </c>
      <c r="U40" s="39" t="s">
        <v>688</v>
      </c>
      <c r="V40" s="53"/>
      <c r="W40" s="39"/>
      <c r="X40" s="6">
        <v>3.5</v>
      </c>
      <c r="Y40" s="6">
        <f t="shared" si="5"/>
        <v>7</v>
      </c>
      <c r="Z40" s="6"/>
      <c r="AA40" s="39" t="s">
        <v>487</v>
      </c>
      <c r="AB40" s="39" t="s">
        <v>604</v>
      </c>
      <c r="AC40" s="39" t="s">
        <v>600</v>
      </c>
      <c r="AD40" s="39" t="s">
        <v>496</v>
      </c>
      <c r="AE40" s="39">
        <f>IF(AB40="승용차", INDEX('연료 자료'!$C$6:$F$11, MATCH(AD40,'연료 자료'!$B$6:$B$11, 0), MATCH(AC40,'연료 자료'!$C$5:$F$5, 0)), INDEX('연료 자료'!$G$6:$I$11, MATCH(AD40,'연료 자료'!$B$6:$B$11, 0), MATCH(AC40,'연료 자료'!$G$5:$I$5, 0)))</f>
        <v>12</v>
      </c>
      <c r="AF40" s="6">
        <f>VLOOKUP(AD40, 메모!$J$10:$L$19, 3, FALSE)</f>
        <v>2.2709999999999999</v>
      </c>
      <c r="AG40" s="50">
        <f t="shared" si="3"/>
        <v>0.66237500000000005</v>
      </c>
    </row>
    <row r="41" spans="1:33" ht="18.95" customHeight="1" x14ac:dyDescent="0.25">
      <c r="A41" s="41">
        <v>179</v>
      </c>
      <c r="B41" s="6" t="s">
        <v>123</v>
      </c>
      <c r="C41" s="6" t="s">
        <v>167</v>
      </c>
      <c r="D41" s="6" t="s">
        <v>185</v>
      </c>
      <c r="E41" s="6" t="s">
        <v>193</v>
      </c>
      <c r="F41" s="6" t="s">
        <v>196</v>
      </c>
      <c r="G41" s="6" t="s">
        <v>321</v>
      </c>
      <c r="H41" s="55"/>
      <c r="I41" s="55"/>
      <c r="J41" s="55"/>
      <c r="K41" s="39" t="s">
        <v>365</v>
      </c>
      <c r="L41" s="6" t="b">
        <v>0</v>
      </c>
      <c r="M41" s="6" t="b">
        <v>0</v>
      </c>
      <c r="N41" s="6" t="s">
        <v>358</v>
      </c>
      <c r="O41" s="39"/>
      <c r="P41" s="39"/>
      <c r="Q41" s="39"/>
      <c r="R41" s="39"/>
      <c r="S41" s="39" t="s">
        <v>406</v>
      </c>
      <c r="T41" s="39">
        <v>3</v>
      </c>
      <c r="U41" s="39" t="s">
        <v>688</v>
      </c>
      <c r="V41" s="53"/>
      <c r="W41" s="23"/>
      <c r="X41" s="6">
        <v>8.6</v>
      </c>
      <c r="Y41" s="6">
        <f t="shared" si="5"/>
        <v>17.2</v>
      </c>
      <c r="Z41" s="6"/>
      <c r="AA41" s="39" t="s">
        <v>435</v>
      </c>
      <c r="AB41" s="39" t="s">
        <v>604</v>
      </c>
      <c r="AC41" s="39" t="s">
        <v>601</v>
      </c>
      <c r="AD41" s="39" t="s">
        <v>496</v>
      </c>
      <c r="AE41" s="39">
        <f>IF(AB41="승용차", INDEX('연료 자료'!$C$6:$F$11, MATCH(AD41,'연료 자료'!$B$6:$B$11, 0), MATCH(AC41,'연료 자료'!$C$5:$F$5, 0)), INDEX('연료 자료'!$G$6:$I$11, MATCH(AD41,'연료 자료'!$B$6:$B$11, 0), MATCH(AC41,'연료 자료'!$G$5:$I$5, 0)))</f>
        <v>10</v>
      </c>
      <c r="AF41" s="6">
        <f>VLOOKUP(AD41, 메모!$J$10:$L$19, 3, FALSE)</f>
        <v>2.2709999999999999</v>
      </c>
      <c r="AG41" s="50">
        <f t="shared" si="3"/>
        <v>1.9530599999999998</v>
      </c>
    </row>
    <row r="42" spans="1:33" ht="18.95" customHeight="1" x14ac:dyDescent="0.25">
      <c r="A42" s="41">
        <v>211</v>
      </c>
      <c r="B42" s="6" t="s">
        <v>138</v>
      </c>
      <c r="C42" s="6" t="s">
        <v>174</v>
      </c>
      <c r="D42" s="6" t="s">
        <v>185</v>
      </c>
      <c r="E42" s="6" t="s">
        <v>193</v>
      </c>
      <c r="F42" s="6" t="s">
        <v>196</v>
      </c>
      <c r="G42" s="6" t="s">
        <v>336</v>
      </c>
      <c r="H42" s="55"/>
      <c r="I42" s="56" t="s">
        <v>364</v>
      </c>
      <c r="J42" s="55"/>
      <c r="K42" s="39" t="s">
        <v>365</v>
      </c>
      <c r="L42" s="6" t="b">
        <v>0</v>
      </c>
      <c r="M42" s="6" t="b">
        <v>0</v>
      </c>
      <c r="N42" s="6" t="s">
        <v>358</v>
      </c>
      <c r="O42" s="39"/>
      <c r="P42" s="39"/>
      <c r="Q42" s="39"/>
      <c r="R42" s="39"/>
      <c r="S42" s="39" t="s">
        <v>406</v>
      </c>
      <c r="T42" s="39">
        <v>3</v>
      </c>
      <c r="U42" s="39" t="s">
        <v>688</v>
      </c>
      <c r="V42" s="53"/>
      <c r="W42" s="39"/>
      <c r="X42" s="6">
        <v>6.8</v>
      </c>
      <c r="Y42" s="6">
        <f t="shared" si="5"/>
        <v>13.6</v>
      </c>
      <c r="Z42" s="6"/>
      <c r="AA42" s="39" t="s">
        <v>727</v>
      </c>
      <c r="AB42" s="39" t="s">
        <v>605</v>
      </c>
      <c r="AC42" s="39" t="s">
        <v>603</v>
      </c>
      <c r="AD42" s="39" t="s">
        <v>499</v>
      </c>
      <c r="AE42" s="39">
        <f>IF(AB42="승용차", INDEX('연료 자료'!$C$6:$F$11, MATCH(AD42,'연료 자료'!$B$6:$B$11, 0), MATCH(AC42,'연료 자료'!$C$5:$F$5, 0)), INDEX('연료 자료'!$G$6:$I$11, MATCH(AD42,'연료 자료'!$B$6:$B$11, 0), MATCH(AC42,'연료 자료'!$G$5:$I$5, 0)))</f>
        <v>9</v>
      </c>
      <c r="AF42" s="6">
        <f>VLOOKUP(AD42, 메모!$J$10:$L$19, 3, FALSE)</f>
        <v>2.6139999999999999</v>
      </c>
      <c r="AG42" s="50">
        <f t="shared" si="3"/>
        <v>1.975022222222222</v>
      </c>
    </row>
    <row r="43" spans="1:33" ht="18.95" customHeight="1" x14ac:dyDescent="0.25">
      <c r="A43" s="41">
        <v>213</v>
      </c>
      <c r="B43" s="7" t="s">
        <v>492</v>
      </c>
      <c r="C43" s="6" t="s">
        <v>174</v>
      </c>
      <c r="D43" s="6" t="s">
        <v>185</v>
      </c>
      <c r="E43" s="6" t="s">
        <v>193</v>
      </c>
      <c r="F43" s="6" t="s">
        <v>196</v>
      </c>
      <c r="G43" s="6" t="s">
        <v>337</v>
      </c>
      <c r="H43" s="55"/>
      <c r="I43" s="56" t="s">
        <v>362</v>
      </c>
      <c r="J43" s="55"/>
      <c r="K43" s="39" t="s">
        <v>365</v>
      </c>
      <c r="L43" s="6" t="b">
        <v>0</v>
      </c>
      <c r="M43" s="6" t="b">
        <v>0</v>
      </c>
      <c r="N43" s="6" t="s">
        <v>358</v>
      </c>
      <c r="O43" s="39"/>
      <c r="P43" s="39"/>
      <c r="Q43" s="39"/>
      <c r="R43" s="39"/>
      <c r="S43" s="39" t="s">
        <v>406</v>
      </c>
      <c r="T43" s="39">
        <v>3</v>
      </c>
      <c r="U43" s="39" t="s">
        <v>688</v>
      </c>
      <c r="V43" s="53"/>
      <c r="W43" s="39"/>
      <c r="X43" s="6">
        <v>3.5</v>
      </c>
      <c r="Y43" s="6">
        <f t="shared" si="5"/>
        <v>7</v>
      </c>
      <c r="Z43" s="6"/>
      <c r="AA43" s="39" t="s">
        <v>493</v>
      </c>
      <c r="AB43" s="39" t="s">
        <v>604</v>
      </c>
      <c r="AC43" s="39" t="s">
        <v>601</v>
      </c>
      <c r="AD43" s="39" t="s">
        <v>496</v>
      </c>
      <c r="AE43" s="39">
        <f>IF(AB43="승용차", INDEX('연료 자료'!$C$6:$F$11, MATCH(AD43,'연료 자료'!$B$6:$B$11, 0), MATCH(AC43,'연료 자료'!$C$5:$F$5, 0)), INDEX('연료 자료'!$G$6:$I$11, MATCH(AD43,'연료 자료'!$B$6:$B$11, 0), MATCH(AC43,'연료 자료'!$G$5:$I$5, 0)))</f>
        <v>10</v>
      </c>
      <c r="AF43" s="6">
        <f>VLOOKUP(AD43, 메모!$J$10:$L$19, 3, FALSE)</f>
        <v>2.2709999999999999</v>
      </c>
      <c r="AG43" s="50">
        <f t="shared" si="3"/>
        <v>0.79484999999999995</v>
      </c>
    </row>
    <row r="44" spans="1:33" ht="18.95" customHeight="1" x14ac:dyDescent="0.25">
      <c r="A44" s="41">
        <v>219</v>
      </c>
      <c r="B44" s="6" t="s">
        <v>140</v>
      </c>
      <c r="C44" s="6" t="s">
        <v>176</v>
      </c>
      <c r="D44" s="6" t="s">
        <v>185</v>
      </c>
      <c r="E44" s="6" t="s">
        <v>193</v>
      </c>
      <c r="F44" s="6" t="s">
        <v>196</v>
      </c>
      <c r="G44" s="6" t="s">
        <v>339</v>
      </c>
      <c r="H44" s="55"/>
      <c r="I44" s="55"/>
      <c r="J44" s="55"/>
      <c r="K44" s="39" t="s">
        <v>365</v>
      </c>
      <c r="L44" s="6" t="b">
        <v>0</v>
      </c>
      <c r="M44" s="6" t="b">
        <v>0</v>
      </c>
      <c r="N44" s="6" t="s">
        <v>358</v>
      </c>
      <c r="O44" s="39"/>
      <c r="P44" s="39"/>
      <c r="Q44" s="39"/>
      <c r="R44" s="39"/>
      <c r="S44" s="39" t="s">
        <v>406</v>
      </c>
      <c r="T44" s="39">
        <v>3</v>
      </c>
      <c r="U44" s="39" t="s">
        <v>688</v>
      </c>
      <c r="V44" s="53"/>
      <c r="W44" s="39"/>
      <c r="X44" s="6">
        <v>3.8</v>
      </c>
      <c r="Y44" s="6">
        <f t="shared" si="5"/>
        <v>7.6</v>
      </c>
      <c r="Z44" s="6"/>
      <c r="AA44" s="39" t="s">
        <v>439</v>
      </c>
      <c r="AB44" s="39" t="s">
        <v>604</v>
      </c>
      <c r="AC44" s="39" t="s">
        <v>599</v>
      </c>
      <c r="AD44" s="39" t="s">
        <v>496</v>
      </c>
      <c r="AE44" s="39">
        <f>IF(AB44="승용차", INDEX('연료 자료'!$C$6:$F$11, MATCH(AD44,'연료 자료'!$B$6:$B$11, 0), MATCH(AC44,'연료 자료'!$C$5:$F$5, 0)), INDEX('연료 자료'!$G$6:$I$11, MATCH(AD44,'연료 자료'!$B$6:$B$11, 0), MATCH(AC44,'연료 자료'!$G$5:$I$5, 0)))</f>
        <v>14</v>
      </c>
      <c r="AF44" s="6">
        <f>VLOOKUP(AD44, 메모!$J$10:$L$19, 3, FALSE)</f>
        <v>2.2709999999999999</v>
      </c>
      <c r="AG44" s="50">
        <f t="shared" si="3"/>
        <v>0.61641428571428569</v>
      </c>
    </row>
    <row r="45" spans="1:33" ht="18.95" customHeight="1" x14ac:dyDescent="0.25">
      <c r="A45" s="41">
        <v>221</v>
      </c>
      <c r="B45" s="6" t="s">
        <v>142</v>
      </c>
      <c r="C45" s="6" t="s">
        <v>176</v>
      </c>
      <c r="D45" s="6" t="s">
        <v>185</v>
      </c>
      <c r="E45" s="6" t="s">
        <v>193</v>
      </c>
      <c r="F45" s="6" t="s">
        <v>196</v>
      </c>
      <c r="G45" s="6" t="s">
        <v>341</v>
      </c>
      <c r="H45" s="55"/>
      <c r="I45" s="55"/>
      <c r="J45" s="55"/>
      <c r="K45" s="39" t="s">
        <v>365</v>
      </c>
      <c r="L45" s="6" t="b">
        <v>0</v>
      </c>
      <c r="M45" s="6" t="b">
        <v>0</v>
      </c>
      <c r="N45" s="6" t="s">
        <v>358</v>
      </c>
      <c r="O45" s="39"/>
      <c r="P45" s="39"/>
      <c r="Q45" s="39"/>
      <c r="R45" s="39"/>
      <c r="S45" s="39" t="s">
        <v>406</v>
      </c>
      <c r="T45" s="39">
        <v>3</v>
      </c>
      <c r="U45" s="39" t="s">
        <v>688</v>
      </c>
      <c r="V45" s="53"/>
      <c r="W45" s="47"/>
      <c r="X45" s="6">
        <v>14</v>
      </c>
      <c r="Y45" s="6">
        <f t="shared" si="5"/>
        <v>28</v>
      </c>
      <c r="Z45" s="6"/>
      <c r="AA45" s="39" t="s">
        <v>487</v>
      </c>
      <c r="AB45" s="39" t="s">
        <v>604</v>
      </c>
      <c r="AC45" s="39" t="s">
        <v>602</v>
      </c>
      <c r="AD45" s="39" t="s">
        <v>496</v>
      </c>
      <c r="AE45" s="39">
        <f>IF(AB45="승용차", INDEX('연료 자료'!$C$6:$F$11, MATCH(AD45,'연료 자료'!$B$6:$B$11, 0), MATCH(AC45,'연료 자료'!$C$5:$F$5, 0)), INDEX('연료 자료'!$G$6:$I$11, MATCH(AD45,'연료 자료'!$B$6:$B$11, 0), MATCH(AC45,'연료 자료'!$G$5:$I$5, 0)))</f>
        <v>7</v>
      </c>
      <c r="AF45" s="6">
        <f>VLOOKUP(AD45, 메모!$J$10:$L$19, 3, FALSE)</f>
        <v>2.2709999999999999</v>
      </c>
      <c r="AG45" s="50">
        <f t="shared" si="3"/>
        <v>4.5419999999999998</v>
      </c>
    </row>
    <row r="46" spans="1:33" ht="18.95" customHeight="1" x14ac:dyDescent="0.25">
      <c r="A46" s="41">
        <v>223</v>
      </c>
      <c r="B46" s="6" t="s">
        <v>143</v>
      </c>
      <c r="C46" s="6" t="s">
        <v>176</v>
      </c>
      <c r="D46" s="6" t="s">
        <v>185</v>
      </c>
      <c r="E46" s="6" t="s">
        <v>193</v>
      </c>
      <c r="F46" s="6" t="s">
        <v>196</v>
      </c>
      <c r="G46" s="6" t="s">
        <v>343</v>
      </c>
      <c r="H46" s="55"/>
      <c r="I46" s="55"/>
      <c r="J46" s="55"/>
      <c r="K46" s="39" t="s">
        <v>365</v>
      </c>
      <c r="L46" s="6" t="b">
        <v>0</v>
      </c>
      <c r="M46" s="6" t="b">
        <v>0</v>
      </c>
      <c r="N46" s="6" t="s">
        <v>358</v>
      </c>
      <c r="O46" s="39"/>
      <c r="P46" s="39"/>
      <c r="Q46" s="39"/>
      <c r="R46" s="39"/>
      <c r="S46" s="39" t="s">
        <v>406</v>
      </c>
      <c r="T46" s="39">
        <v>3</v>
      </c>
      <c r="U46" s="39" t="s">
        <v>688</v>
      </c>
      <c r="V46" s="53"/>
      <c r="W46" s="39"/>
      <c r="X46" s="6">
        <v>3.8</v>
      </c>
      <c r="Y46" s="6">
        <f t="shared" si="5"/>
        <v>7.6</v>
      </c>
      <c r="Z46" s="6"/>
      <c r="AA46" s="39" t="s">
        <v>450</v>
      </c>
      <c r="AB46" s="39" t="s">
        <v>604</v>
      </c>
      <c r="AC46" s="39" t="s">
        <v>602</v>
      </c>
      <c r="AD46" s="39" t="s">
        <v>496</v>
      </c>
      <c r="AE46" s="39">
        <f>IF(AB46="승용차", INDEX('연료 자료'!$C$6:$F$11, MATCH(AD46,'연료 자료'!$B$6:$B$11, 0), MATCH(AC46,'연료 자료'!$C$5:$F$5, 0)), INDEX('연료 자료'!$G$6:$I$11, MATCH(AD46,'연료 자료'!$B$6:$B$11, 0), MATCH(AC46,'연료 자료'!$G$5:$I$5, 0)))</f>
        <v>7</v>
      </c>
      <c r="AF46" s="6">
        <f>VLOOKUP(AD46, 메모!$J$10:$L$19, 3, FALSE)</f>
        <v>2.2709999999999999</v>
      </c>
      <c r="AG46" s="50">
        <f t="shared" si="3"/>
        <v>1.2328285714285714</v>
      </c>
    </row>
    <row r="47" spans="1:33" ht="18.95" customHeight="1" x14ac:dyDescent="0.25">
      <c r="A47" s="41">
        <v>232</v>
      </c>
      <c r="B47" s="7" t="s">
        <v>494</v>
      </c>
      <c r="C47" s="6" t="s">
        <v>179</v>
      </c>
      <c r="D47" s="6" t="s">
        <v>185</v>
      </c>
      <c r="E47" s="6" t="s">
        <v>193</v>
      </c>
      <c r="F47" s="6" t="s">
        <v>196</v>
      </c>
      <c r="G47" s="6" t="s">
        <v>346</v>
      </c>
      <c r="H47" s="55"/>
      <c r="I47" s="56" t="s">
        <v>363</v>
      </c>
      <c r="J47" s="55"/>
      <c r="K47" s="39" t="s">
        <v>365</v>
      </c>
      <c r="L47" s="6" t="b">
        <v>0</v>
      </c>
      <c r="M47" s="6" t="b">
        <v>0</v>
      </c>
      <c r="N47" s="6" t="s">
        <v>358</v>
      </c>
      <c r="O47" s="39"/>
      <c r="P47" s="39"/>
      <c r="Q47" s="39"/>
      <c r="R47" s="39"/>
      <c r="S47" s="39" t="s">
        <v>406</v>
      </c>
      <c r="T47" s="39">
        <v>3</v>
      </c>
      <c r="U47" s="39" t="s">
        <v>688</v>
      </c>
      <c r="V47" s="53"/>
      <c r="W47" s="23"/>
      <c r="X47" s="6">
        <v>8.5</v>
      </c>
      <c r="Y47" s="6">
        <f t="shared" si="5"/>
        <v>17</v>
      </c>
      <c r="Z47" s="6"/>
      <c r="AA47" s="39" t="s">
        <v>445</v>
      </c>
      <c r="AB47" s="39" t="s">
        <v>604</v>
      </c>
      <c r="AC47" s="39" t="s">
        <v>601</v>
      </c>
      <c r="AD47" s="39" t="s">
        <v>499</v>
      </c>
      <c r="AE47" s="39">
        <f>IF(AB47="승용차", INDEX('연료 자료'!$C$6:$F$11, MATCH(AD47,'연료 자료'!$B$6:$B$11, 0), MATCH(AC47,'연료 자료'!$C$5:$F$5, 0)), INDEX('연료 자료'!$G$6:$I$11, MATCH(AD47,'연료 자료'!$B$6:$B$11, 0), MATCH(AC47,'연료 자료'!$G$5:$I$5, 0)))</f>
        <v>13</v>
      </c>
      <c r="AF47" s="6">
        <f>VLOOKUP(AD47, 메모!$J$10:$L$19, 3, FALSE)</f>
        <v>2.6139999999999999</v>
      </c>
      <c r="AG47" s="50">
        <f t="shared" si="3"/>
        <v>1.709153846153846</v>
      </c>
    </row>
    <row r="48" spans="1:33" ht="18.95" customHeight="1" x14ac:dyDescent="0.25">
      <c r="A48" s="41">
        <v>241</v>
      </c>
      <c r="B48" s="6" t="s">
        <v>154</v>
      </c>
      <c r="C48" s="6" t="s">
        <v>179</v>
      </c>
      <c r="D48" s="6" t="s">
        <v>185</v>
      </c>
      <c r="E48" s="6" t="s">
        <v>193</v>
      </c>
      <c r="F48" s="6" t="s">
        <v>196</v>
      </c>
      <c r="G48" s="6" t="s">
        <v>350</v>
      </c>
      <c r="H48" s="55"/>
      <c r="I48" s="55"/>
      <c r="J48" s="55"/>
      <c r="K48" s="39" t="s">
        <v>365</v>
      </c>
      <c r="L48" s="6" t="b">
        <v>0</v>
      </c>
      <c r="M48" s="6" t="b">
        <v>0</v>
      </c>
      <c r="N48" s="6" t="s">
        <v>358</v>
      </c>
      <c r="O48" s="39"/>
      <c r="P48" s="39"/>
      <c r="Q48" s="39"/>
      <c r="R48" s="39"/>
      <c r="S48" s="39" t="s">
        <v>406</v>
      </c>
      <c r="T48" s="6">
        <v>3</v>
      </c>
      <c r="U48" s="39" t="s">
        <v>688</v>
      </c>
      <c r="V48" s="53"/>
      <c r="W48" s="47"/>
      <c r="X48" s="6">
        <v>3</v>
      </c>
      <c r="Y48" s="6">
        <f t="shared" si="5"/>
        <v>6</v>
      </c>
      <c r="Z48" s="6"/>
      <c r="AA48" s="39" t="s">
        <v>498</v>
      </c>
      <c r="AB48" s="39" t="s">
        <v>604</v>
      </c>
      <c r="AC48" s="39" t="s">
        <v>601</v>
      </c>
      <c r="AD48" s="39" t="s">
        <v>499</v>
      </c>
      <c r="AE48" s="39">
        <f>IF(AB48="승용차", INDEX('연료 자료'!$C$6:$F$11, MATCH(AD48,'연료 자료'!$B$6:$B$11, 0), MATCH(AC48,'연료 자료'!$C$5:$F$5, 0)), INDEX('연료 자료'!$G$6:$I$11, MATCH(AD48,'연료 자료'!$B$6:$B$11, 0), MATCH(AC48,'연료 자료'!$G$5:$I$5, 0)))</f>
        <v>13</v>
      </c>
      <c r="AF48" s="6">
        <f>VLOOKUP(AD48, 메모!$J$10:$L$19, 3, FALSE)</f>
        <v>2.6139999999999999</v>
      </c>
      <c r="AG48" s="50">
        <f t="shared" si="3"/>
        <v>0.60323076923076924</v>
      </c>
    </row>
    <row r="49" spans="1:33" ht="18.95" customHeight="1" x14ac:dyDescent="0.25">
      <c r="A49" s="41">
        <v>258</v>
      </c>
      <c r="B49" s="7" t="s">
        <v>497</v>
      </c>
      <c r="C49" s="6"/>
      <c r="D49" s="6"/>
      <c r="E49" s="6" t="s">
        <v>193</v>
      </c>
      <c r="F49" s="6"/>
      <c r="G49" s="6" t="s">
        <v>407</v>
      </c>
      <c r="H49" s="55"/>
      <c r="I49" s="55"/>
      <c r="J49" s="55"/>
      <c r="K49" s="39" t="s">
        <v>365</v>
      </c>
      <c r="L49" s="6"/>
      <c r="M49" s="6"/>
      <c r="N49" s="6"/>
      <c r="O49" s="39"/>
      <c r="P49" s="39"/>
      <c r="Q49" s="39"/>
      <c r="R49" s="39"/>
      <c r="S49" s="39" t="s">
        <v>406</v>
      </c>
      <c r="T49" s="39">
        <v>3</v>
      </c>
      <c r="U49" s="39" t="s">
        <v>688</v>
      </c>
      <c r="V49" s="53"/>
      <c r="W49" s="53"/>
      <c r="X49" s="6">
        <v>15</v>
      </c>
      <c r="Y49" s="6">
        <f t="shared" si="5"/>
        <v>30</v>
      </c>
      <c r="Z49" s="39"/>
      <c r="AA49" s="39" t="s">
        <v>500</v>
      </c>
      <c r="AB49" s="39" t="s">
        <v>604</v>
      </c>
      <c r="AC49" s="39" t="s">
        <v>601</v>
      </c>
      <c r="AD49" s="39" t="s">
        <v>496</v>
      </c>
      <c r="AE49" s="39">
        <f>IF(AB49="승용차", INDEX('연료 자료'!$C$6:$F$11, MATCH(AD49,'연료 자료'!$B$6:$B$11, 0), MATCH(AC49,'연료 자료'!$C$5:$F$5, 0)), INDEX('연료 자료'!$G$6:$I$11, MATCH(AD49,'연료 자료'!$B$6:$B$11, 0), MATCH(AC49,'연료 자료'!$G$5:$I$5, 0)))</f>
        <v>10</v>
      </c>
      <c r="AF49" s="6">
        <f>VLOOKUP(AD49, 메모!$J$10:$L$19, 3, FALSE)</f>
        <v>2.2709999999999999</v>
      </c>
      <c r="AG49" s="50">
        <f t="shared" si="3"/>
        <v>3.4064999999999999</v>
      </c>
    </row>
    <row r="50" spans="1:33" ht="18.95" customHeight="1" x14ac:dyDescent="0.25">
      <c r="A50" s="6">
        <v>40</v>
      </c>
      <c r="B50" s="6" t="s">
        <v>35</v>
      </c>
      <c r="C50" s="6" t="s">
        <v>160</v>
      </c>
      <c r="D50" s="6" t="s">
        <v>185</v>
      </c>
      <c r="E50" s="6" t="s">
        <v>193</v>
      </c>
      <c r="F50" s="6" t="s">
        <v>196</v>
      </c>
      <c r="G50" s="6" t="s">
        <v>234</v>
      </c>
      <c r="H50" s="55"/>
      <c r="I50" s="55"/>
      <c r="J50" s="55"/>
      <c r="K50" s="6" t="s">
        <v>234</v>
      </c>
      <c r="L50" s="6" t="b">
        <v>0</v>
      </c>
      <c r="M50" s="6" t="b">
        <v>0</v>
      </c>
      <c r="N50" s="6" t="s">
        <v>358</v>
      </c>
      <c r="O50" s="23" t="s">
        <v>686</v>
      </c>
      <c r="P50" s="7" t="s">
        <v>661</v>
      </c>
      <c r="Q50" s="6"/>
      <c r="R50" s="6"/>
      <c r="S50" s="6"/>
      <c r="T50" s="6">
        <v>3</v>
      </c>
      <c r="U50" s="39" t="s">
        <v>405</v>
      </c>
      <c r="V50" s="53" t="s">
        <v>381</v>
      </c>
      <c r="W50" s="42"/>
      <c r="X50" s="6">
        <v>8</v>
      </c>
      <c r="Y50" s="6">
        <f t="shared" si="4"/>
        <v>16</v>
      </c>
      <c r="Z50" s="6"/>
      <c r="AA50" s="39" t="s">
        <v>453</v>
      </c>
      <c r="AB50" s="39" t="s">
        <v>605</v>
      </c>
      <c r="AC50" s="39" t="s">
        <v>603</v>
      </c>
      <c r="AD50" s="39" t="s">
        <v>499</v>
      </c>
      <c r="AE50" s="39">
        <f>IF(AB50="승용차", INDEX('연료 자료'!$C$6:$F$11, MATCH(AD50,'연료 자료'!$B$6:$B$11, 0), MATCH(AC50,'연료 자료'!$C$5:$F$5, 0)), INDEX('연료 자료'!$G$6:$I$11, MATCH(AD50,'연료 자료'!$B$6:$B$11, 0), MATCH(AC50,'연료 자료'!$G$5:$I$5, 0)))</f>
        <v>9</v>
      </c>
      <c r="AF50" s="6">
        <f>VLOOKUP(AD50, 메모!$J$10:$L$19, 3, FALSE)</f>
        <v>2.6139999999999999</v>
      </c>
      <c r="AG50" s="50">
        <f t="shared" si="3"/>
        <v>2.3235555555555552</v>
      </c>
    </row>
    <row r="51" spans="1:33" ht="18.95" customHeight="1" x14ac:dyDescent="0.25">
      <c r="A51" s="6">
        <v>42</v>
      </c>
      <c r="B51" s="6" t="s">
        <v>37</v>
      </c>
      <c r="C51" s="6" t="s">
        <v>160</v>
      </c>
      <c r="D51" s="6" t="s">
        <v>185</v>
      </c>
      <c r="E51" s="6" t="s">
        <v>193</v>
      </c>
      <c r="F51" s="6" t="s">
        <v>196</v>
      </c>
      <c r="G51" s="6" t="s">
        <v>236</v>
      </c>
      <c r="H51" s="55"/>
      <c r="I51" s="56" t="s">
        <v>364</v>
      </c>
      <c r="J51" s="55"/>
      <c r="K51" s="6" t="s">
        <v>236</v>
      </c>
      <c r="L51" s="6" t="b">
        <v>0</v>
      </c>
      <c r="M51" s="6" t="b">
        <v>0</v>
      </c>
      <c r="N51" s="6" t="s">
        <v>358</v>
      </c>
      <c r="O51" s="23" t="s">
        <v>686</v>
      </c>
      <c r="P51" s="7" t="s">
        <v>663</v>
      </c>
      <c r="Q51" s="7" t="s">
        <v>664</v>
      </c>
      <c r="R51" s="6"/>
      <c r="S51" s="6"/>
      <c r="T51" s="6">
        <v>3</v>
      </c>
      <c r="U51" s="39" t="s">
        <v>405</v>
      </c>
      <c r="V51" s="53" t="s">
        <v>505</v>
      </c>
      <c r="W51" s="23"/>
      <c r="X51" s="6">
        <v>13</v>
      </c>
      <c r="Y51" s="6">
        <f t="shared" si="4"/>
        <v>26</v>
      </c>
      <c r="Z51" s="6"/>
      <c r="AA51" s="39" t="s">
        <v>453</v>
      </c>
      <c r="AB51" s="39" t="s">
        <v>605</v>
      </c>
      <c r="AC51" s="39" t="s">
        <v>603</v>
      </c>
      <c r="AD51" s="39" t="s">
        <v>499</v>
      </c>
      <c r="AE51" s="39">
        <f>IF(AB51="승용차", INDEX('연료 자료'!$C$6:$F$11, MATCH(AD51,'연료 자료'!$B$6:$B$11, 0), MATCH(AC51,'연료 자료'!$C$5:$F$5, 0)), INDEX('연료 자료'!$G$6:$I$11, MATCH(AD51,'연료 자료'!$B$6:$B$11, 0), MATCH(AC51,'연료 자료'!$G$5:$I$5, 0)))</f>
        <v>9</v>
      </c>
      <c r="AF51" s="6">
        <f>VLOOKUP(AD51, 메모!$J$10:$L$19, 3, FALSE)</f>
        <v>2.6139999999999999</v>
      </c>
      <c r="AG51" s="50">
        <f t="shared" si="3"/>
        <v>3.7757777777777775</v>
      </c>
    </row>
    <row r="52" spans="1:33" ht="18.95" customHeight="1" x14ac:dyDescent="0.25">
      <c r="A52" s="6">
        <v>62</v>
      </c>
      <c r="B52" s="6" t="s">
        <v>55</v>
      </c>
      <c r="C52" s="6" t="s">
        <v>160</v>
      </c>
      <c r="D52" s="6" t="s">
        <v>185</v>
      </c>
      <c r="E52" s="6" t="s">
        <v>193</v>
      </c>
      <c r="F52" s="6" t="s">
        <v>196</v>
      </c>
      <c r="G52" s="6" t="s">
        <v>254</v>
      </c>
      <c r="H52" s="55"/>
      <c r="I52" s="55"/>
      <c r="J52" s="55"/>
      <c r="K52" s="6" t="s">
        <v>254</v>
      </c>
      <c r="L52" s="6" t="b">
        <v>0</v>
      </c>
      <c r="M52" s="6" t="b">
        <v>0</v>
      </c>
      <c r="N52" s="6" t="s">
        <v>358</v>
      </c>
      <c r="O52" s="39" t="s">
        <v>737</v>
      </c>
      <c r="P52" s="6"/>
      <c r="Q52" s="6"/>
      <c r="R52" s="6"/>
      <c r="S52" s="6"/>
      <c r="T52" s="6">
        <v>3</v>
      </c>
      <c r="U52" s="39" t="s">
        <v>405</v>
      </c>
      <c r="V52" s="53" t="s">
        <v>507</v>
      </c>
      <c r="W52" s="23"/>
      <c r="X52" s="6">
        <v>2.2000000000000002</v>
      </c>
      <c r="Y52" s="6">
        <f t="shared" si="4"/>
        <v>4.4000000000000004</v>
      </c>
      <c r="Z52" s="6"/>
      <c r="AA52" s="39" t="s">
        <v>465</v>
      </c>
      <c r="AB52" s="39" t="s">
        <v>604</v>
      </c>
      <c r="AC52" s="39" t="s">
        <v>602</v>
      </c>
      <c r="AD52" s="39" t="s">
        <v>496</v>
      </c>
      <c r="AE52" s="39">
        <f>IF(AB52="승용차", INDEX('연료 자료'!$C$6:$F$11, MATCH(AD52,'연료 자료'!$B$6:$B$11, 0), MATCH(AC52,'연료 자료'!$C$5:$F$5, 0)), INDEX('연료 자료'!$G$6:$I$11, MATCH(AD52,'연료 자료'!$B$6:$B$11, 0), MATCH(AC52,'연료 자료'!$G$5:$I$5, 0)))</f>
        <v>7</v>
      </c>
      <c r="AF52" s="6">
        <f>VLOOKUP(AD52, 메모!$J$10:$L$19, 3, FALSE)</f>
        <v>2.2709999999999999</v>
      </c>
      <c r="AG52" s="50">
        <f t="shared" si="3"/>
        <v>0.71374285714285723</v>
      </c>
    </row>
    <row r="53" spans="1:33" ht="18.95" customHeight="1" x14ac:dyDescent="0.25">
      <c r="A53" s="6">
        <v>71</v>
      </c>
      <c r="B53" s="6" t="s">
        <v>61</v>
      </c>
      <c r="C53" s="6" t="s">
        <v>160</v>
      </c>
      <c r="D53" s="6" t="s">
        <v>185</v>
      </c>
      <c r="E53" s="6" t="s">
        <v>193</v>
      </c>
      <c r="F53" s="6" t="s">
        <v>196</v>
      </c>
      <c r="G53" s="6" t="s">
        <v>260</v>
      </c>
      <c r="H53" s="55"/>
      <c r="I53" s="55"/>
      <c r="J53" s="55"/>
      <c r="K53" s="6" t="s">
        <v>260</v>
      </c>
      <c r="L53" s="6" t="b">
        <v>0</v>
      </c>
      <c r="M53" s="6" t="b">
        <v>0</v>
      </c>
      <c r="N53" s="6" t="s">
        <v>358</v>
      </c>
      <c r="O53" s="23" t="s">
        <v>686</v>
      </c>
      <c r="P53" s="7" t="s">
        <v>674</v>
      </c>
      <c r="Q53" s="6"/>
      <c r="R53" s="6"/>
      <c r="S53" s="6"/>
      <c r="T53" s="6">
        <v>3</v>
      </c>
      <c r="U53" s="39" t="s">
        <v>405</v>
      </c>
      <c r="V53" s="53" t="s">
        <v>376</v>
      </c>
      <c r="W53" s="47"/>
      <c r="X53" s="6">
        <v>8.9</v>
      </c>
      <c r="Y53" s="6">
        <f t="shared" si="4"/>
        <v>17.8</v>
      </c>
      <c r="Z53" s="6"/>
      <c r="AA53" s="39" t="s">
        <v>453</v>
      </c>
      <c r="AB53" s="39" t="s">
        <v>605</v>
      </c>
      <c r="AC53" s="39" t="s">
        <v>603</v>
      </c>
      <c r="AD53" s="39" t="s">
        <v>499</v>
      </c>
      <c r="AE53" s="39">
        <f>IF(AB53="승용차", INDEX('연료 자료'!$C$6:$F$11, MATCH(AD53,'연료 자료'!$B$6:$B$11, 0), MATCH(AC53,'연료 자료'!$C$5:$F$5, 0)), INDEX('연료 자료'!$G$6:$I$11, MATCH(AD53,'연료 자료'!$B$6:$B$11, 0), MATCH(AC53,'연료 자료'!$G$5:$I$5, 0)))</f>
        <v>9</v>
      </c>
      <c r="AF53" s="6">
        <f>VLOOKUP(AD53, 메모!$J$10:$L$19, 3, FALSE)</f>
        <v>2.6139999999999999</v>
      </c>
      <c r="AG53" s="50">
        <f t="shared" si="3"/>
        <v>2.5849555555555557</v>
      </c>
    </row>
    <row r="54" spans="1:33" ht="18.95" customHeight="1" x14ac:dyDescent="0.25">
      <c r="A54" s="6">
        <v>77</v>
      </c>
      <c r="B54" s="6" t="s">
        <v>67</v>
      </c>
      <c r="C54" s="6" t="s">
        <v>160</v>
      </c>
      <c r="D54" s="6" t="s">
        <v>185</v>
      </c>
      <c r="E54" s="6" t="s">
        <v>193</v>
      </c>
      <c r="F54" s="6" t="s">
        <v>196</v>
      </c>
      <c r="G54" s="6" t="s">
        <v>266</v>
      </c>
      <c r="H54" s="55"/>
      <c r="I54" s="55"/>
      <c r="J54" s="55"/>
      <c r="K54" s="6" t="s">
        <v>266</v>
      </c>
      <c r="L54" s="6" t="b">
        <v>0</v>
      </c>
      <c r="M54" s="6" t="b">
        <v>0</v>
      </c>
      <c r="N54" s="6" t="s">
        <v>358</v>
      </c>
      <c r="O54" s="23" t="s">
        <v>686</v>
      </c>
      <c r="P54" s="7" t="s">
        <v>666</v>
      </c>
      <c r="Q54" s="6"/>
      <c r="R54" s="6"/>
      <c r="S54" s="6"/>
      <c r="T54" s="6">
        <v>3</v>
      </c>
      <c r="U54" s="39" t="s">
        <v>405</v>
      </c>
      <c r="V54" s="53" t="s">
        <v>510</v>
      </c>
      <c r="W54" s="23"/>
      <c r="X54" s="6">
        <v>67</v>
      </c>
      <c r="Y54" s="6">
        <f t="shared" si="4"/>
        <v>134</v>
      </c>
      <c r="Z54" s="6"/>
      <c r="AA54" s="39" t="s">
        <v>469</v>
      </c>
      <c r="AB54" s="39" t="s">
        <v>605</v>
      </c>
      <c r="AC54" s="39" t="s">
        <v>610</v>
      </c>
      <c r="AD54" s="39" t="s">
        <v>499</v>
      </c>
      <c r="AE54" s="39">
        <f>IF(AB54="승용차", INDEX('연료 자료'!$C$6:$F$11, MATCH(AD54,'연료 자료'!$B$6:$B$11, 0), MATCH(AC54,'연료 자료'!$C$5:$F$5, 0)), INDEX('연료 자료'!$G$6:$I$11, MATCH(AD54,'연료 자료'!$B$6:$B$11, 0), MATCH(AC54,'연료 자료'!$G$5:$I$5, 0)))</f>
        <v>3</v>
      </c>
      <c r="AF54" s="6">
        <f>VLOOKUP(AD54, 메모!$J$10:$L$19, 3, FALSE)</f>
        <v>2.6139999999999999</v>
      </c>
      <c r="AG54" s="50">
        <f t="shared" si="3"/>
        <v>58.379333333333328</v>
      </c>
    </row>
    <row r="55" spans="1:33" ht="18.95" customHeight="1" x14ac:dyDescent="0.25">
      <c r="A55" s="6">
        <v>78</v>
      </c>
      <c r="B55" s="6" t="s">
        <v>68</v>
      </c>
      <c r="C55" s="6" t="s">
        <v>160</v>
      </c>
      <c r="D55" s="6" t="s">
        <v>185</v>
      </c>
      <c r="E55" s="6" t="s">
        <v>193</v>
      </c>
      <c r="F55" s="6" t="s">
        <v>196</v>
      </c>
      <c r="G55" s="6" t="s">
        <v>267</v>
      </c>
      <c r="H55" s="55"/>
      <c r="I55" s="55"/>
      <c r="J55" s="55"/>
      <c r="K55" s="6" t="s">
        <v>267</v>
      </c>
      <c r="L55" s="6" t="b">
        <v>0</v>
      </c>
      <c r="M55" s="6" t="b">
        <v>0</v>
      </c>
      <c r="N55" s="6" t="s">
        <v>358</v>
      </c>
      <c r="O55" s="23" t="s">
        <v>686</v>
      </c>
      <c r="P55" s="7" t="s">
        <v>666</v>
      </c>
      <c r="Q55" s="6"/>
      <c r="R55" s="6"/>
      <c r="S55" s="6"/>
      <c r="T55" s="6">
        <v>3</v>
      </c>
      <c r="U55" s="39" t="s">
        <v>405</v>
      </c>
      <c r="V55" s="53" t="s">
        <v>510</v>
      </c>
      <c r="W55" s="23"/>
      <c r="X55" s="6">
        <v>67</v>
      </c>
      <c r="Y55" s="6">
        <f t="shared" si="4"/>
        <v>134</v>
      </c>
      <c r="Z55" s="6"/>
      <c r="AA55" s="39" t="s">
        <v>471</v>
      </c>
      <c r="AB55" s="39" t="s">
        <v>605</v>
      </c>
      <c r="AC55" s="39" t="s">
        <v>603</v>
      </c>
      <c r="AD55" s="39" t="s">
        <v>695</v>
      </c>
      <c r="AE55" s="39">
        <f>IF(AB55="승용차", INDEX('연료 자료'!$C$6:$F$11, MATCH(AD55,'연료 자료'!$B$6:$B$11, 0), MATCH(AC55,'연료 자료'!$C$5:$F$5, 0)), INDEX('연료 자료'!$G$6:$I$11, MATCH(AD55,'연료 자료'!$B$6:$B$11, 0), MATCH(AC55,'연료 자료'!$G$5:$I$5, 0)))</f>
        <v>5</v>
      </c>
      <c r="AF55" s="6">
        <f>VLOOKUP(AD55, 메모!$J$10:$L$19, 3, FALSE)</f>
        <v>0.42499999999999999</v>
      </c>
      <c r="AG55" s="50">
        <f t="shared" si="3"/>
        <v>5.6950000000000003</v>
      </c>
    </row>
    <row r="56" spans="1:33" ht="18.95" customHeight="1" x14ac:dyDescent="0.25">
      <c r="A56" s="6">
        <v>80</v>
      </c>
      <c r="B56" s="6" t="s">
        <v>70</v>
      </c>
      <c r="C56" s="6" t="s">
        <v>160</v>
      </c>
      <c r="D56" s="6" t="s">
        <v>185</v>
      </c>
      <c r="E56" s="6" t="s">
        <v>193</v>
      </c>
      <c r="F56" s="6" t="s">
        <v>196</v>
      </c>
      <c r="G56" s="6" t="s">
        <v>269</v>
      </c>
      <c r="H56" s="55"/>
      <c r="I56" s="55"/>
      <c r="J56" s="55"/>
      <c r="K56" s="6" t="s">
        <v>269</v>
      </c>
      <c r="L56" s="6" t="b">
        <v>0</v>
      </c>
      <c r="M56" s="6" t="b">
        <v>0</v>
      </c>
      <c r="N56" s="6" t="s">
        <v>358</v>
      </c>
      <c r="O56" s="23" t="s">
        <v>686</v>
      </c>
      <c r="P56" s="7" t="s">
        <v>676</v>
      </c>
      <c r="Q56" s="6"/>
      <c r="R56" s="6"/>
      <c r="S56" s="6"/>
      <c r="T56" s="6">
        <v>3</v>
      </c>
      <c r="U56" s="39" t="s">
        <v>405</v>
      </c>
      <c r="V56" s="53" t="s">
        <v>512</v>
      </c>
      <c r="W56" s="23"/>
      <c r="X56" s="6">
        <v>8.6</v>
      </c>
      <c r="Y56" s="6">
        <f t="shared" si="4"/>
        <v>17.2</v>
      </c>
      <c r="Z56" s="6"/>
      <c r="AA56" s="39" t="s">
        <v>727</v>
      </c>
      <c r="AB56" s="39" t="s">
        <v>605</v>
      </c>
      <c r="AC56" s="39" t="s">
        <v>603</v>
      </c>
      <c r="AD56" s="39" t="s">
        <v>499</v>
      </c>
      <c r="AE56" s="39">
        <f>IF(AB56="승용차", INDEX('연료 자료'!$C$6:$F$11, MATCH(AD56,'연료 자료'!$B$6:$B$11, 0), MATCH(AC56,'연료 자료'!$C$5:$F$5, 0)), INDEX('연료 자료'!$G$6:$I$11, MATCH(AD56,'연료 자료'!$B$6:$B$11, 0), MATCH(AC56,'연료 자료'!$G$5:$I$5, 0)))</f>
        <v>9</v>
      </c>
      <c r="AF56" s="6">
        <f>VLOOKUP(AD56, 메모!$J$10:$L$19, 3, FALSE)</f>
        <v>2.6139999999999999</v>
      </c>
      <c r="AG56" s="50">
        <f t="shared" si="3"/>
        <v>2.4978222222222217</v>
      </c>
    </row>
    <row r="57" spans="1:33" ht="18.95" customHeight="1" x14ac:dyDescent="0.25">
      <c r="A57" s="6">
        <v>87</v>
      </c>
      <c r="B57" s="6" t="s">
        <v>75</v>
      </c>
      <c r="C57" s="6" t="s">
        <v>160</v>
      </c>
      <c r="D57" s="6" t="s">
        <v>185</v>
      </c>
      <c r="E57" s="6" t="s">
        <v>193</v>
      </c>
      <c r="F57" s="6" t="s">
        <v>196</v>
      </c>
      <c r="G57" s="6" t="s">
        <v>274</v>
      </c>
      <c r="H57" s="55"/>
      <c r="I57" s="55"/>
      <c r="J57" s="55"/>
      <c r="K57" s="6" t="s">
        <v>274</v>
      </c>
      <c r="L57" s="6" t="b">
        <v>0</v>
      </c>
      <c r="M57" s="6" t="b">
        <v>0</v>
      </c>
      <c r="N57" s="6" t="s">
        <v>358</v>
      </c>
      <c r="O57" s="23" t="s">
        <v>686</v>
      </c>
      <c r="P57" s="6"/>
      <c r="Q57" s="6"/>
      <c r="R57" s="6"/>
      <c r="S57" s="6"/>
      <c r="T57" s="6">
        <v>3</v>
      </c>
      <c r="U57" s="39" t="s">
        <v>405</v>
      </c>
      <c r="V57" s="53"/>
      <c r="W57" s="6"/>
      <c r="X57" s="6"/>
      <c r="Y57" s="6"/>
      <c r="Z57" s="6"/>
      <c r="AA57" s="39" t="s">
        <v>455</v>
      </c>
      <c r="AB57" s="39" t="s">
        <v>605</v>
      </c>
      <c r="AC57" s="39" t="s">
        <v>603</v>
      </c>
      <c r="AD57" s="39" t="s">
        <v>499</v>
      </c>
      <c r="AE57" s="6">
        <f>IF(AB57="승용차", INDEX('연료 자료'!$C$6:$F$11, MATCH(AD57,'연료 자료'!$B$6:$B$11, 0), MATCH(AC57,'연료 자료'!$C$5:$F$5, 0)), INDEX('연료 자료'!$G$6:$I$11, MATCH(AD57,'연료 자료'!$B$6:$B$11, 0), MATCH(AC57,'연료 자료'!$G$5:$I$5, 0)))</f>
        <v>9</v>
      </c>
      <c r="AF57" s="6">
        <f>VLOOKUP(AD57, 메모!$J$10:$L$19, 3, FALSE)</f>
        <v>2.6139999999999999</v>
      </c>
      <c r="AG57" s="50">
        <f t="shared" si="3"/>
        <v>0</v>
      </c>
    </row>
    <row r="58" spans="1:33" ht="18.95" customHeight="1" x14ac:dyDescent="0.25">
      <c r="A58" s="6">
        <v>88</v>
      </c>
      <c r="B58" s="6" t="s">
        <v>76</v>
      </c>
      <c r="C58" s="6" t="s">
        <v>160</v>
      </c>
      <c r="D58" s="6" t="s">
        <v>185</v>
      </c>
      <c r="E58" s="6" t="s">
        <v>193</v>
      </c>
      <c r="F58" s="6" t="s">
        <v>196</v>
      </c>
      <c r="G58" s="6" t="s">
        <v>275</v>
      </c>
      <c r="H58" s="55"/>
      <c r="I58" s="55"/>
      <c r="J58" s="55"/>
      <c r="K58" s="6" t="s">
        <v>275</v>
      </c>
      <c r="L58" s="6" t="b">
        <v>0</v>
      </c>
      <c r="M58" s="6" t="b">
        <v>0</v>
      </c>
      <c r="N58" s="6" t="s">
        <v>358</v>
      </c>
      <c r="O58" s="23" t="s">
        <v>686</v>
      </c>
      <c r="P58" s="44" t="s">
        <v>666</v>
      </c>
      <c r="Q58" s="6"/>
      <c r="R58" s="6"/>
      <c r="S58" s="6"/>
      <c r="T58" s="6">
        <v>3</v>
      </c>
      <c r="U58" s="39" t="s">
        <v>405</v>
      </c>
      <c r="V58" s="53" t="s">
        <v>410</v>
      </c>
      <c r="W58" s="23"/>
      <c r="X58" s="6">
        <v>68</v>
      </c>
      <c r="Y58" s="6">
        <f t="shared" ref="Y58:Y98" si="6">X58*2</f>
        <v>136</v>
      </c>
      <c r="Z58" s="6"/>
      <c r="AA58" s="39" t="s">
        <v>475</v>
      </c>
      <c r="AB58" s="39" t="s">
        <v>605</v>
      </c>
      <c r="AC58" s="39" t="s">
        <v>610</v>
      </c>
      <c r="AD58" s="39" t="s">
        <v>499</v>
      </c>
      <c r="AE58" s="39">
        <f>IF(AB58="승용차", INDEX('연료 자료'!$C$6:$F$11, MATCH(AD58,'연료 자료'!$B$6:$B$11, 0), MATCH(AC58,'연료 자료'!$C$5:$F$5, 0)), INDEX('연료 자료'!$G$6:$I$11, MATCH(AD58,'연료 자료'!$B$6:$B$11, 0), MATCH(AC58,'연료 자료'!$G$5:$I$5, 0)))</f>
        <v>3</v>
      </c>
      <c r="AF58" s="6">
        <f>VLOOKUP(AD58, 메모!$J$10:$L$19, 3, FALSE)</f>
        <v>2.6139999999999999</v>
      </c>
      <c r="AG58" s="50">
        <f t="shared" si="3"/>
        <v>59.250666666666667</v>
      </c>
    </row>
    <row r="59" spans="1:33" ht="18.95" customHeight="1" x14ac:dyDescent="0.25">
      <c r="A59" s="6">
        <v>89</v>
      </c>
      <c r="B59" s="6" t="s">
        <v>77</v>
      </c>
      <c r="C59" s="6" t="s">
        <v>160</v>
      </c>
      <c r="D59" s="6" t="s">
        <v>185</v>
      </c>
      <c r="E59" s="6" t="s">
        <v>193</v>
      </c>
      <c r="F59" s="6" t="s">
        <v>196</v>
      </c>
      <c r="G59" s="6" t="s">
        <v>276</v>
      </c>
      <c r="H59" s="55"/>
      <c r="I59" s="55"/>
      <c r="J59" s="55"/>
      <c r="K59" s="6" t="s">
        <v>276</v>
      </c>
      <c r="L59" s="6" t="b">
        <v>0</v>
      </c>
      <c r="M59" s="6" t="b">
        <v>0</v>
      </c>
      <c r="N59" s="6" t="s">
        <v>358</v>
      </c>
      <c r="O59" s="23" t="s">
        <v>686</v>
      </c>
      <c r="P59" s="44" t="s">
        <v>666</v>
      </c>
      <c r="Q59" s="6"/>
      <c r="R59" s="6"/>
      <c r="S59" s="6"/>
      <c r="T59" s="6">
        <v>3</v>
      </c>
      <c r="U59" s="39" t="s">
        <v>405</v>
      </c>
      <c r="V59" s="53" t="s">
        <v>410</v>
      </c>
      <c r="W59" s="23"/>
      <c r="X59" s="6">
        <v>68</v>
      </c>
      <c r="Y59" s="6">
        <f t="shared" si="6"/>
        <v>136</v>
      </c>
      <c r="Z59" s="6"/>
      <c r="AA59" s="39" t="s">
        <v>455</v>
      </c>
      <c r="AB59" s="39" t="s">
        <v>605</v>
      </c>
      <c r="AC59" s="39" t="s">
        <v>603</v>
      </c>
      <c r="AD59" s="39" t="s">
        <v>499</v>
      </c>
      <c r="AE59" s="39">
        <f>IF(AB59="승용차", INDEX('연료 자료'!$C$6:$F$11, MATCH(AD59,'연료 자료'!$B$6:$B$11, 0), MATCH(AC59,'연료 자료'!$C$5:$F$5, 0)), INDEX('연료 자료'!$G$6:$I$11, MATCH(AD59,'연료 자료'!$B$6:$B$11, 0), MATCH(AC59,'연료 자료'!$G$5:$I$5, 0)))</f>
        <v>9</v>
      </c>
      <c r="AF59" s="6">
        <f>VLOOKUP(AD59, 메모!$J$10:$L$19, 3, FALSE)</f>
        <v>2.6139999999999999</v>
      </c>
      <c r="AG59" s="50">
        <f t="shared" si="3"/>
        <v>19.75022222222222</v>
      </c>
    </row>
    <row r="60" spans="1:33" ht="18.95" customHeight="1" x14ac:dyDescent="0.25">
      <c r="A60" s="6">
        <v>91</v>
      </c>
      <c r="B60" s="6" t="s">
        <v>78</v>
      </c>
      <c r="C60" s="6" t="s">
        <v>160</v>
      </c>
      <c r="D60" s="6" t="s">
        <v>185</v>
      </c>
      <c r="E60" s="6" t="s">
        <v>193</v>
      </c>
      <c r="F60" s="6" t="s">
        <v>196</v>
      </c>
      <c r="G60" s="6" t="s">
        <v>277</v>
      </c>
      <c r="H60" s="55"/>
      <c r="I60" s="55"/>
      <c r="J60" s="55"/>
      <c r="K60" s="6" t="s">
        <v>277</v>
      </c>
      <c r="L60" s="6" t="b">
        <v>0</v>
      </c>
      <c r="M60" s="6" t="b">
        <v>0</v>
      </c>
      <c r="N60" s="6" t="s">
        <v>358</v>
      </c>
      <c r="O60" s="23" t="s">
        <v>686</v>
      </c>
      <c r="P60" s="7" t="s">
        <v>677</v>
      </c>
      <c r="Q60" s="6"/>
      <c r="R60" s="6"/>
      <c r="S60" s="6"/>
      <c r="T60" s="6">
        <v>3</v>
      </c>
      <c r="U60" s="39" t="s">
        <v>405</v>
      </c>
      <c r="V60" s="53" t="s">
        <v>411</v>
      </c>
      <c r="W60" s="23"/>
      <c r="X60" s="6">
        <v>71</v>
      </c>
      <c r="Y60" s="6">
        <f t="shared" si="6"/>
        <v>142</v>
      </c>
      <c r="Z60" s="6"/>
      <c r="AA60" s="39" t="s">
        <v>455</v>
      </c>
      <c r="AB60" s="39" t="s">
        <v>605</v>
      </c>
      <c r="AC60" s="39" t="s">
        <v>603</v>
      </c>
      <c r="AD60" s="39" t="s">
        <v>499</v>
      </c>
      <c r="AE60" s="39">
        <f>IF(AB60="승용차", INDEX('연료 자료'!$C$6:$F$11, MATCH(AD60,'연료 자료'!$B$6:$B$11, 0), MATCH(AC60,'연료 자료'!$C$5:$F$5, 0)), INDEX('연료 자료'!$G$6:$I$11, MATCH(AD60,'연료 자료'!$B$6:$B$11, 0), MATCH(AC60,'연료 자료'!$G$5:$I$5, 0)))</f>
        <v>9</v>
      </c>
      <c r="AF60" s="6">
        <f>VLOOKUP(AD60, 메모!$J$10:$L$19, 3, FALSE)</f>
        <v>2.6139999999999999</v>
      </c>
      <c r="AG60" s="50">
        <f t="shared" si="3"/>
        <v>20.621555555555556</v>
      </c>
    </row>
    <row r="61" spans="1:33" ht="18.95" customHeight="1" x14ac:dyDescent="0.25">
      <c r="A61" s="6">
        <v>93</v>
      </c>
      <c r="B61" s="6" t="s">
        <v>80</v>
      </c>
      <c r="C61" s="6" t="s">
        <v>160</v>
      </c>
      <c r="D61" s="6" t="s">
        <v>185</v>
      </c>
      <c r="E61" s="6" t="s">
        <v>193</v>
      </c>
      <c r="F61" s="6" t="s">
        <v>196</v>
      </c>
      <c r="G61" s="6" t="s">
        <v>279</v>
      </c>
      <c r="H61" s="55"/>
      <c r="I61" s="55"/>
      <c r="J61" s="55"/>
      <c r="K61" s="6" t="s">
        <v>279</v>
      </c>
      <c r="L61" s="6" t="b">
        <v>0</v>
      </c>
      <c r="M61" s="6" t="b">
        <v>0</v>
      </c>
      <c r="N61" s="6" t="s">
        <v>358</v>
      </c>
      <c r="O61" s="23" t="s">
        <v>686</v>
      </c>
      <c r="P61" s="7" t="s">
        <v>681</v>
      </c>
      <c r="Q61" s="6"/>
      <c r="R61" s="6"/>
      <c r="S61" s="6"/>
      <c r="T61" s="6">
        <v>3</v>
      </c>
      <c r="U61" s="39" t="s">
        <v>405</v>
      </c>
      <c r="V61" s="53" t="s">
        <v>383</v>
      </c>
      <c r="W61" s="39"/>
      <c r="X61" s="6">
        <v>8.8000000000000007</v>
      </c>
      <c r="Y61" s="6">
        <f t="shared" si="6"/>
        <v>17.600000000000001</v>
      </c>
      <c r="Z61" s="6"/>
      <c r="AA61" s="39" t="s">
        <v>477</v>
      </c>
      <c r="AB61" s="39" t="s">
        <v>604</v>
      </c>
      <c r="AC61" s="39" t="s">
        <v>601</v>
      </c>
      <c r="AD61" s="39" t="s">
        <v>501</v>
      </c>
      <c r="AE61" s="39">
        <f>IF(AB61="승용차", INDEX('연료 자료'!$C$6:$F$11, MATCH(AD61,'연료 자료'!$B$6:$B$11, 0), MATCH(AC61,'연료 자료'!$C$5:$F$5, 0)), INDEX('연료 자료'!$G$6:$I$11, MATCH(AD61,'연료 자료'!$B$6:$B$11, 0), MATCH(AC61,'연료 자료'!$G$5:$I$5, 0)))</f>
        <v>15</v>
      </c>
      <c r="AF61" s="6">
        <f>VLOOKUP(AD61, 메모!$J$10:$L$19, 3, FALSE)</f>
        <v>2.2709999999999999</v>
      </c>
      <c r="AG61" s="50">
        <f t="shared" si="3"/>
        <v>1.3323199999999999</v>
      </c>
    </row>
    <row r="62" spans="1:33" ht="18.95" customHeight="1" x14ac:dyDescent="0.25">
      <c r="A62" s="6">
        <v>101</v>
      </c>
      <c r="B62" s="6" t="s">
        <v>85</v>
      </c>
      <c r="C62" s="6" t="s">
        <v>160</v>
      </c>
      <c r="D62" s="6" t="s">
        <v>185</v>
      </c>
      <c r="E62" s="6" t="s">
        <v>193</v>
      </c>
      <c r="F62" s="6" t="s">
        <v>196</v>
      </c>
      <c r="G62" s="6" t="s">
        <v>284</v>
      </c>
      <c r="H62" s="55"/>
      <c r="I62" s="55"/>
      <c r="J62" s="55"/>
      <c r="K62" s="6" t="s">
        <v>284</v>
      </c>
      <c r="L62" s="6" t="b">
        <v>0</v>
      </c>
      <c r="M62" s="6" t="b">
        <v>0</v>
      </c>
      <c r="N62" s="6" t="s">
        <v>358</v>
      </c>
      <c r="O62" s="23" t="s">
        <v>686</v>
      </c>
      <c r="P62" s="7" t="s">
        <v>678</v>
      </c>
      <c r="Q62" s="6"/>
      <c r="R62" s="6"/>
      <c r="S62" s="6"/>
      <c r="T62" s="6">
        <v>3</v>
      </c>
      <c r="U62" s="39" t="s">
        <v>405</v>
      </c>
      <c r="V62" s="53" t="s">
        <v>416</v>
      </c>
      <c r="W62" s="23"/>
      <c r="X62" s="6">
        <v>17</v>
      </c>
      <c r="Y62" s="6">
        <f t="shared" si="6"/>
        <v>34</v>
      </c>
      <c r="Z62" s="6"/>
      <c r="AA62" s="39" t="s">
        <v>727</v>
      </c>
      <c r="AB62" s="39" t="s">
        <v>605</v>
      </c>
      <c r="AC62" s="39" t="s">
        <v>603</v>
      </c>
      <c r="AD62" s="39" t="s">
        <v>499</v>
      </c>
      <c r="AE62" s="39">
        <f>IF(AB62="승용차", INDEX('연료 자료'!$C$6:$F$11, MATCH(AD62,'연료 자료'!$B$6:$B$11, 0), MATCH(AC62,'연료 자료'!$C$5:$F$5, 0)), INDEX('연료 자료'!$G$6:$I$11, MATCH(AD62,'연료 자료'!$B$6:$B$11, 0), MATCH(AC62,'연료 자료'!$G$5:$I$5, 0)))</f>
        <v>9</v>
      </c>
      <c r="AF62" s="6">
        <f>VLOOKUP(AD62, 메모!$J$10:$L$19, 3, FALSE)</f>
        <v>2.6139999999999999</v>
      </c>
      <c r="AG62" s="50">
        <f t="shared" si="3"/>
        <v>4.937555555555555</v>
      </c>
    </row>
    <row r="63" spans="1:33" ht="18.95" customHeight="1" x14ac:dyDescent="0.25">
      <c r="A63" s="6">
        <v>102</v>
      </c>
      <c r="B63" s="6" t="s">
        <v>86</v>
      </c>
      <c r="C63" s="6" t="s">
        <v>160</v>
      </c>
      <c r="D63" s="6" t="s">
        <v>185</v>
      </c>
      <c r="E63" s="6" t="s">
        <v>193</v>
      </c>
      <c r="F63" s="6" t="s">
        <v>196</v>
      </c>
      <c r="G63" s="6" t="s">
        <v>285</v>
      </c>
      <c r="H63" s="55"/>
      <c r="I63" s="55"/>
      <c r="J63" s="55"/>
      <c r="K63" s="6" t="s">
        <v>285</v>
      </c>
      <c r="L63" s="6" t="b">
        <v>0</v>
      </c>
      <c r="M63" s="6" t="b">
        <v>0</v>
      </c>
      <c r="N63" s="6" t="s">
        <v>358</v>
      </c>
      <c r="O63" s="23" t="s">
        <v>686</v>
      </c>
      <c r="P63" s="7" t="s">
        <v>678</v>
      </c>
      <c r="Q63" s="6"/>
      <c r="R63" s="6"/>
      <c r="S63" s="6"/>
      <c r="T63" s="6">
        <v>3</v>
      </c>
      <c r="U63" s="39" t="s">
        <v>405</v>
      </c>
      <c r="V63" s="53" t="s">
        <v>416</v>
      </c>
      <c r="W63" s="23"/>
      <c r="X63" s="6">
        <v>17</v>
      </c>
      <c r="Y63" s="6">
        <f t="shared" si="6"/>
        <v>34</v>
      </c>
      <c r="Z63" s="6"/>
      <c r="AA63" s="39" t="s">
        <v>467</v>
      </c>
      <c r="AB63" s="39" t="s">
        <v>605</v>
      </c>
      <c r="AC63" s="39" t="s">
        <v>726</v>
      </c>
      <c r="AD63" s="39" t="s">
        <v>499</v>
      </c>
      <c r="AE63" s="39">
        <f>IF(AB63="승용차", INDEX('연료 자료'!$C$6:$F$11, MATCH(AD63,'연료 자료'!$B$6:$B$11, 0), MATCH(AC63,'연료 자료'!$C$5:$F$5, 0)), INDEX('연료 자료'!$G$6:$I$11, MATCH(AD63,'연료 자료'!$B$6:$B$11, 0), MATCH(AC63,'연료 자료'!$G$5:$I$5, 0)))</f>
        <v>5</v>
      </c>
      <c r="AF63" s="6">
        <f>VLOOKUP(AD63, 메모!$J$10:$L$19, 3, FALSE)</f>
        <v>2.6139999999999999</v>
      </c>
      <c r="AG63" s="50">
        <f t="shared" si="3"/>
        <v>8.8875999999999991</v>
      </c>
    </row>
    <row r="64" spans="1:33" ht="18.95" customHeight="1" x14ac:dyDescent="0.25">
      <c r="A64" s="6">
        <v>103</v>
      </c>
      <c r="B64" s="6" t="s">
        <v>87</v>
      </c>
      <c r="C64" s="6" t="s">
        <v>160</v>
      </c>
      <c r="D64" s="6" t="s">
        <v>185</v>
      </c>
      <c r="E64" s="6" t="s">
        <v>193</v>
      </c>
      <c r="F64" s="6" t="s">
        <v>196</v>
      </c>
      <c r="G64" s="6" t="s">
        <v>286</v>
      </c>
      <c r="H64" s="55"/>
      <c r="I64" s="55"/>
      <c r="J64" s="55"/>
      <c r="K64" s="6" t="s">
        <v>286</v>
      </c>
      <c r="L64" s="6" t="b">
        <v>0</v>
      </c>
      <c r="M64" s="6" t="b">
        <v>0</v>
      </c>
      <c r="N64" s="6" t="s">
        <v>358</v>
      </c>
      <c r="O64" s="23" t="s">
        <v>686</v>
      </c>
      <c r="P64" s="6"/>
      <c r="Q64" s="6"/>
      <c r="R64" s="6"/>
      <c r="S64" s="6"/>
      <c r="T64" s="6">
        <v>3</v>
      </c>
      <c r="U64" s="39" t="s">
        <v>405</v>
      </c>
      <c r="V64" s="53" t="s">
        <v>369</v>
      </c>
      <c r="W64" s="47"/>
      <c r="X64" s="6">
        <v>9</v>
      </c>
      <c r="Y64" s="6">
        <f t="shared" si="6"/>
        <v>18</v>
      </c>
      <c r="Z64" s="6"/>
      <c r="AA64" s="39" t="s">
        <v>727</v>
      </c>
      <c r="AB64" s="39" t="s">
        <v>605</v>
      </c>
      <c r="AC64" s="39" t="s">
        <v>603</v>
      </c>
      <c r="AD64" s="39" t="s">
        <v>499</v>
      </c>
      <c r="AE64" s="39">
        <f>IF(AB64="승용차", INDEX('연료 자료'!$C$6:$F$11, MATCH(AD64,'연료 자료'!$B$6:$B$11, 0), MATCH(AC64,'연료 자료'!$C$5:$F$5, 0)), INDEX('연료 자료'!$G$6:$I$11, MATCH(AD64,'연료 자료'!$B$6:$B$11, 0), MATCH(AC64,'연료 자료'!$G$5:$I$5, 0)))</f>
        <v>9</v>
      </c>
      <c r="AF64" s="6">
        <f>VLOOKUP(AD64, 메모!$J$10:$L$19, 3, FALSE)</f>
        <v>2.6139999999999999</v>
      </c>
      <c r="AG64" s="50">
        <f t="shared" si="3"/>
        <v>2.6139999999999999</v>
      </c>
    </row>
    <row r="65" spans="1:33" ht="18.95" customHeight="1" x14ac:dyDescent="0.25">
      <c r="A65" s="6">
        <v>104</v>
      </c>
      <c r="B65" s="6" t="s">
        <v>88</v>
      </c>
      <c r="C65" s="6" t="s">
        <v>160</v>
      </c>
      <c r="D65" s="6" t="s">
        <v>185</v>
      </c>
      <c r="E65" s="6" t="s">
        <v>193</v>
      </c>
      <c r="F65" s="6" t="s">
        <v>196</v>
      </c>
      <c r="G65" s="6" t="s">
        <v>287</v>
      </c>
      <c r="H65" s="55"/>
      <c r="I65" s="55"/>
      <c r="J65" s="55"/>
      <c r="K65" s="6" t="s">
        <v>287</v>
      </c>
      <c r="L65" s="6" t="b">
        <v>0</v>
      </c>
      <c r="M65" s="6" t="b">
        <v>0</v>
      </c>
      <c r="N65" s="6" t="s">
        <v>358</v>
      </c>
      <c r="O65" s="23" t="s">
        <v>686</v>
      </c>
      <c r="P65" s="6"/>
      <c r="Q65" s="6"/>
      <c r="R65" s="6"/>
      <c r="S65" s="6"/>
      <c r="T65" s="6">
        <v>3</v>
      </c>
      <c r="U65" s="39" t="s">
        <v>405</v>
      </c>
      <c r="V65" s="53" t="s">
        <v>369</v>
      </c>
      <c r="W65" s="47"/>
      <c r="X65" s="6">
        <v>9</v>
      </c>
      <c r="Y65" s="6">
        <f t="shared" si="6"/>
        <v>18</v>
      </c>
      <c r="Z65" s="6"/>
      <c r="AA65" s="39" t="s">
        <v>727</v>
      </c>
      <c r="AB65" s="39" t="s">
        <v>605</v>
      </c>
      <c r="AC65" s="39" t="s">
        <v>603</v>
      </c>
      <c r="AD65" s="39" t="s">
        <v>499</v>
      </c>
      <c r="AE65" s="39">
        <f>IF(AB65="승용차", INDEX('연료 자료'!$C$6:$F$11, MATCH(AD65,'연료 자료'!$B$6:$B$11, 0), MATCH(AC65,'연료 자료'!$C$5:$F$5, 0)), INDEX('연료 자료'!$G$6:$I$11, MATCH(AD65,'연료 자료'!$B$6:$B$11, 0), MATCH(AC65,'연료 자료'!$G$5:$I$5, 0)))</f>
        <v>9</v>
      </c>
      <c r="AF65" s="6">
        <f>VLOOKUP(AD65, 메모!$J$10:$L$19, 3, FALSE)</f>
        <v>2.6139999999999999</v>
      </c>
      <c r="AG65" s="50">
        <f t="shared" si="3"/>
        <v>2.6139999999999999</v>
      </c>
    </row>
    <row r="66" spans="1:33" ht="18.95" customHeight="1" x14ac:dyDescent="0.25">
      <c r="A66" s="6">
        <v>105</v>
      </c>
      <c r="B66" s="6" t="s">
        <v>89</v>
      </c>
      <c r="C66" s="6" t="s">
        <v>160</v>
      </c>
      <c r="D66" s="6" t="s">
        <v>185</v>
      </c>
      <c r="E66" s="6" t="s">
        <v>193</v>
      </c>
      <c r="F66" s="6" t="s">
        <v>196</v>
      </c>
      <c r="G66" s="6" t="s">
        <v>288</v>
      </c>
      <c r="H66" s="55"/>
      <c r="I66" s="55"/>
      <c r="J66" s="55"/>
      <c r="K66" s="6" t="s">
        <v>288</v>
      </c>
      <c r="L66" s="6" t="b">
        <v>0</v>
      </c>
      <c r="M66" s="6" t="b">
        <v>0</v>
      </c>
      <c r="N66" s="6" t="s">
        <v>358</v>
      </c>
      <c r="O66" s="23" t="s">
        <v>686</v>
      </c>
      <c r="P66" s="7" t="s">
        <v>678</v>
      </c>
      <c r="Q66" s="6"/>
      <c r="R66" s="6"/>
      <c r="S66" s="6"/>
      <c r="T66" s="6">
        <v>3</v>
      </c>
      <c r="U66" s="39" t="s">
        <v>405</v>
      </c>
      <c r="V66" s="53" t="s">
        <v>370</v>
      </c>
      <c r="W66" s="47"/>
      <c r="X66" s="6">
        <v>1.9</v>
      </c>
      <c r="Y66" s="6">
        <f t="shared" si="6"/>
        <v>3.8</v>
      </c>
      <c r="Z66" s="6"/>
      <c r="AA66" s="39" t="s">
        <v>728</v>
      </c>
      <c r="AB66" s="39" t="s">
        <v>605</v>
      </c>
      <c r="AC66" s="39" t="s">
        <v>603</v>
      </c>
      <c r="AD66" s="39" t="s">
        <v>695</v>
      </c>
      <c r="AE66" s="39">
        <f>IF(AB66="승용차", INDEX('연료 자료'!$C$6:$F$11, MATCH(AD66,'연료 자료'!$B$6:$B$11, 0), MATCH(AC66,'연료 자료'!$C$5:$F$5, 0)), INDEX('연료 자료'!$G$6:$I$11, MATCH(AD66,'연료 자료'!$B$6:$B$11, 0), MATCH(AC66,'연료 자료'!$G$5:$I$5, 0)))</f>
        <v>5</v>
      </c>
      <c r="AF66" s="6">
        <f>VLOOKUP(AD66, 메모!$J$10:$L$19, 3, FALSE)</f>
        <v>0.42499999999999999</v>
      </c>
      <c r="AG66" s="50">
        <f t="shared" si="3"/>
        <v>0.1615</v>
      </c>
    </row>
    <row r="67" spans="1:33" ht="18.95" customHeight="1" x14ac:dyDescent="0.25">
      <c r="A67" s="6">
        <v>106</v>
      </c>
      <c r="B67" s="6" t="s">
        <v>90</v>
      </c>
      <c r="C67" s="6" t="s">
        <v>160</v>
      </c>
      <c r="D67" s="6" t="s">
        <v>185</v>
      </c>
      <c r="E67" s="6" t="s">
        <v>193</v>
      </c>
      <c r="F67" s="6" t="s">
        <v>196</v>
      </c>
      <c r="G67" s="6" t="s">
        <v>289</v>
      </c>
      <c r="H67" s="55"/>
      <c r="I67" s="55"/>
      <c r="J67" s="55"/>
      <c r="K67" s="6" t="s">
        <v>289</v>
      </c>
      <c r="L67" s="6" t="b">
        <v>0</v>
      </c>
      <c r="M67" s="6" t="b">
        <v>0</v>
      </c>
      <c r="N67" s="6" t="s">
        <v>358</v>
      </c>
      <c r="O67" s="23" t="s">
        <v>686</v>
      </c>
      <c r="P67" s="7" t="s">
        <v>678</v>
      </c>
      <c r="Q67" s="6"/>
      <c r="R67" s="6"/>
      <c r="S67" s="6"/>
      <c r="T67" s="6">
        <v>3</v>
      </c>
      <c r="U67" s="39" t="s">
        <v>405</v>
      </c>
      <c r="V67" s="53" t="s">
        <v>371</v>
      </c>
      <c r="W67" s="47"/>
      <c r="X67" s="6">
        <v>1.9</v>
      </c>
      <c r="Y67" s="6">
        <f t="shared" si="6"/>
        <v>3.8</v>
      </c>
      <c r="Z67" s="6"/>
      <c r="AA67" s="39" t="s">
        <v>727</v>
      </c>
      <c r="AB67" s="39" t="s">
        <v>605</v>
      </c>
      <c r="AC67" s="39" t="s">
        <v>603</v>
      </c>
      <c r="AD67" s="39" t="s">
        <v>499</v>
      </c>
      <c r="AE67" s="39">
        <f>IF(AB67="승용차", INDEX('연료 자료'!$C$6:$F$11, MATCH(AD67,'연료 자료'!$B$6:$B$11, 0), MATCH(AC67,'연료 자료'!$C$5:$F$5, 0)), INDEX('연료 자료'!$G$6:$I$11, MATCH(AD67,'연료 자료'!$B$6:$B$11, 0), MATCH(AC67,'연료 자료'!$G$5:$I$5, 0)))</f>
        <v>9</v>
      </c>
      <c r="AF67" s="6">
        <f>VLOOKUP(AD67, 메모!$J$10:$L$19, 3, FALSE)</f>
        <v>2.6139999999999999</v>
      </c>
      <c r="AG67" s="50">
        <f t="shared" si="3"/>
        <v>0.55184444444444447</v>
      </c>
    </row>
    <row r="68" spans="1:33" ht="18.95" customHeight="1" x14ac:dyDescent="0.25">
      <c r="A68" s="6">
        <v>134</v>
      </c>
      <c r="B68" s="6" t="s">
        <v>103</v>
      </c>
      <c r="C68" s="6" t="s">
        <v>163</v>
      </c>
      <c r="D68" s="6" t="s">
        <v>185</v>
      </c>
      <c r="E68" s="6" t="s">
        <v>193</v>
      </c>
      <c r="F68" s="6" t="s">
        <v>196</v>
      </c>
      <c r="G68" s="6" t="s">
        <v>254</v>
      </c>
      <c r="H68" s="55"/>
      <c r="I68" s="55"/>
      <c r="J68" s="55"/>
      <c r="K68" s="44" t="s">
        <v>736</v>
      </c>
      <c r="L68" s="6" t="b">
        <v>0</v>
      </c>
      <c r="M68" s="6" t="b">
        <v>0</v>
      </c>
      <c r="N68" s="6" t="s">
        <v>358</v>
      </c>
      <c r="O68" s="39" t="s">
        <v>737</v>
      </c>
      <c r="P68" s="7"/>
      <c r="Q68" s="6"/>
      <c r="R68" s="6"/>
      <c r="S68" s="6"/>
      <c r="T68" s="6">
        <v>3</v>
      </c>
      <c r="U68" s="39" t="s">
        <v>405</v>
      </c>
      <c r="V68" s="53" t="s">
        <v>507</v>
      </c>
      <c r="W68" s="6"/>
      <c r="X68" s="6">
        <v>2.2000000000000002</v>
      </c>
      <c r="Y68" s="6">
        <f t="shared" si="6"/>
        <v>4.4000000000000004</v>
      </c>
      <c r="Z68" s="6"/>
      <c r="AA68" s="39" t="s">
        <v>455</v>
      </c>
      <c r="AB68" s="39" t="s">
        <v>605</v>
      </c>
      <c r="AC68" s="39" t="s">
        <v>603</v>
      </c>
      <c r="AD68" s="39" t="s">
        <v>499</v>
      </c>
      <c r="AE68" s="6">
        <f>IF(AB68="승용차", INDEX('연료 자료'!$C$6:$F$11, MATCH(AD68,'연료 자료'!$B$6:$B$11, 0), MATCH(AC68,'연료 자료'!$C$5:$F$5, 0)), INDEX('연료 자료'!$G$6:$I$11, MATCH(AD68,'연료 자료'!$B$6:$B$11, 0), MATCH(AC68,'연료 자료'!$G$5:$I$5, 0)))</f>
        <v>9</v>
      </c>
      <c r="AF68" s="6">
        <f>VLOOKUP(AD68, 메모!$J$10:$L$19, 3, FALSE)</f>
        <v>2.6139999999999999</v>
      </c>
      <c r="AG68" s="50">
        <f t="shared" si="3"/>
        <v>0.63897777777777776</v>
      </c>
    </row>
    <row r="69" spans="1:33" ht="18.95" customHeight="1" x14ac:dyDescent="0.25">
      <c r="A69" s="6">
        <v>230</v>
      </c>
      <c r="B69" s="6" t="s">
        <v>145</v>
      </c>
      <c r="C69" s="6" t="s">
        <v>178</v>
      </c>
      <c r="D69" s="6" t="s">
        <v>185</v>
      </c>
      <c r="E69" s="6" t="s">
        <v>193</v>
      </c>
      <c r="F69" s="6" t="s">
        <v>196</v>
      </c>
      <c r="G69" s="6" t="s">
        <v>345</v>
      </c>
      <c r="H69" s="55"/>
      <c r="I69" s="55"/>
      <c r="J69" s="55"/>
      <c r="K69" s="39" t="s">
        <v>401</v>
      </c>
      <c r="L69" s="6" t="b">
        <v>0</v>
      </c>
      <c r="M69" s="6" t="b">
        <v>0</v>
      </c>
      <c r="N69" s="6" t="s">
        <v>358</v>
      </c>
      <c r="O69" s="39" t="s">
        <v>686</v>
      </c>
      <c r="P69" s="39" t="s">
        <v>681</v>
      </c>
      <c r="Q69" s="39"/>
      <c r="R69" s="39"/>
      <c r="S69" s="6"/>
      <c r="T69" s="6">
        <v>3</v>
      </c>
      <c r="U69" s="39" t="s">
        <v>405</v>
      </c>
      <c r="V69" s="53" t="s">
        <v>383</v>
      </c>
      <c r="W69" s="6"/>
      <c r="X69" s="6">
        <v>8.8000000000000007</v>
      </c>
      <c r="Y69" s="6">
        <f t="shared" si="6"/>
        <v>17.600000000000001</v>
      </c>
      <c r="Z69" s="6"/>
      <c r="AA69" s="39" t="s">
        <v>728</v>
      </c>
      <c r="AB69" s="39" t="s">
        <v>605</v>
      </c>
      <c r="AC69" s="39" t="s">
        <v>603</v>
      </c>
      <c r="AD69" s="39" t="s">
        <v>597</v>
      </c>
      <c r="AE69" s="6">
        <f>IF(AB69="승용차", INDEX('연료 자료'!$C$6:$F$11, MATCH(AD69,'연료 자료'!$B$6:$B$11, 0), MATCH(AC69,'연료 자료'!$C$5:$F$5, 0)), INDEX('연료 자료'!$G$6:$I$11, MATCH(AD69,'연료 자료'!$B$6:$B$11, 0), MATCH(AC69,'연료 자료'!$G$5:$I$5, 0)))</f>
        <v>5</v>
      </c>
      <c r="AF69" s="6">
        <f>VLOOKUP(AD69, 메모!$J$10:$L$19, 3, FALSE)</f>
        <v>0.42499999999999999</v>
      </c>
      <c r="AG69" s="50">
        <f t="shared" si="3"/>
        <v>0.74800000000000011</v>
      </c>
    </row>
    <row r="70" spans="1:33" ht="18.95" customHeight="1" x14ac:dyDescent="0.25">
      <c r="A70" s="6">
        <v>164</v>
      </c>
      <c r="B70" s="6" t="s">
        <v>116</v>
      </c>
      <c r="C70" s="6" t="s">
        <v>164</v>
      </c>
      <c r="D70" s="6" t="s">
        <v>185</v>
      </c>
      <c r="E70" s="6" t="s">
        <v>193</v>
      </c>
      <c r="F70" s="6" t="s">
        <v>196</v>
      </c>
      <c r="G70" s="6" t="s">
        <v>314</v>
      </c>
      <c r="H70" s="55"/>
      <c r="I70" s="55"/>
      <c r="J70" s="55"/>
      <c r="K70" s="6" t="s">
        <v>314</v>
      </c>
      <c r="L70" s="6" t="b">
        <v>0</v>
      </c>
      <c r="M70" s="6" t="b">
        <v>0</v>
      </c>
      <c r="N70" s="6" t="s">
        <v>358</v>
      </c>
      <c r="O70" s="39" t="s">
        <v>737</v>
      </c>
      <c r="P70" s="7" t="s">
        <v>750</v>
      </c>
      <c r="Q70" s="6"/>
      <c r="R70" s="6"/>
      <c r="S70" s="6"/>
      <c r="T70" s="6">
        <v>3</v>
      </c>
      <c r="U70" s="39" t="s">
        <v>405</v>
      </c>
      <c r="V70" s="53" t="s">
        <v>381</v>
      </c>
      <c r="W70" s="6"/>
      <c r="X70" s="6">
        <v>8</v>
      </c>
      <c r="Y70" s="6">
        <f t="shared" si="6"/>
        <v>16</v>
      </c>
      <c r="Z70" s="6"/>
      <c r="AA70" s="39" t="s">
        <v>467</v>
      </c>
      <c r="AB70" s="39" t="s">
        <v>605</v>
      </c>
      <c r="AC70" s="39" t="s">
        <v>726</v>
      </c>
      <c r="AD70" s="39" t="s">
        <v>499</v>
      </c>
      <c r="AE70" s="6">
        <f>IF(AB70="승용차", INDEX('연료 자료'!$C$6:$F$11, MATCH(AD70,'연료 자료'!$B$6:$B$11, 0), MATCH(AC70,'연료 자료'!$C$5:$F$5, 0)), INDEX('연료 자료'!$G$6:$I$11, MATCH(AD70,'연료 자료'!$B$6:$B$11, 0), MATCH(AC70,'연료 자료'!$G$5:$I$5, 0)))</f>
        <v>5</v>
      </c>
      <c r="AF70" s="6">
        <f>VLOOKUP(AD70, 메모!$J$10:$L$19, 3, FALSE)</f>
        <v>2.6139999999999999</v>
      </c>
      <c r="AG70" s="50">
        <f t="shared" si="3"/>
        <v>4.1824000000000003</v>
      </c>
    </row>
    <row r="71" spans="1:33" ht="18.95" customHeight="1" x14ac:dyDescent="0.25">
      <c r="A71" s="6">
        <v>45</v>
      </c>
      <c r="B71" s="6" t="s">
        <v>39</v>
      </c>
      <c r="C71" s="6" t="s">
        <v>160</v>
      </c>
      <c r="D71" s="6" t="s">
        <v>185</v>
      </c>
      <c r="E71" s="6" t="s">
        <v>193</v>
      </c>
      <c r="F71" s="6" t="s">
        <v>196</v>
      </c>
      <c r="G71" s="6" t="s">
        <v>238</v>
      </c>
      <c r="H71" s="55"/>
      <c r="I71" s="55"/>
      <c r="J71" s="55"/>
      <c r="K71" s="44" t="s">
        <v>382</v>
      </c>
      <c r="L71" s="6" t="b">
        <v>0</v>
      </c>
      <c r="M71" s="6" t="b">
        <v>0</v>
      </c>
      <c r="N71" s="6" t="s">
        <v>358</v>
      </c>
      <c r="O71" s="44" t="s">
        <v>656</v>
      </c>
      <c r="P71" s="44" t="s">
        <v>666</v>
      </c>
      <c r="Q71" s="7" t="s">
        <v>664</v>
      </c>
      <c r="R71" s="44" t="s">
        <v>667</v>
      </c>
      <c r="S71" s="6"/>
      <c r="T71" s="6">
        <v>3</v>
      </c>
      <c r="U71" s="39" t="s">
        <v>405</v>
      </c>
      <c r="V71" s="53" t="s">
        <v>427</v>
      </c>
      <c r="W71" s="23"/>
      <c r="X71" s="6">
        <v>37</v>
      </c>
      <c r="Y71" s="6">
        <f t="shared" si="6"/>
        <v>74</v>
      </c>
      <c r="Z71" s="6"/>
      <c r="AA71" s="39" t="s">
        <v>456</v>
      </c>
      <c r="AB71" s="39" t="s">
        <v>605</v>
      </c>
      <c r="AC71" s="39" t="s">
        <v>610</v>
      </c>
      <c r="AD71" s="39" t="s">
        <v>499</v>
      </c>
      <c r="AE71" s="39">
        <f>IF(AB71="승용차", INDEX('연료 자료'!$C$6:$F$11, MATCH(AD71,'연료 자료'!$B$6:$B$11, 0), MATCH(AC71,'연료 자료'!$C$5:$F$5, 0)), INDEX('연료 자료'!$G$6:$I$11, MATCH(AD71,'연료 자료'!$B$6:$B$11, 0), MATCH(AC71,'연료 자료'!$G$5:$I$5, 0)))</f>
        <v>3</v>
      </c>
      <c r="AF71" s="6">
        <f>VLOOKUP(AD71, 메모!$J$10:$L$19, 3, FALSE)</f>
        <v>2.6139999999999999</v>
      </c>
      <c r="AG71" s="50">
        <f t="shared" si="3"/>
        <v>32.239333333333335</v>
      </c>
    </row>
    <row r="72" spans="1:33" ht="18.95" customHeight="1" x14ac:dyDescent="0.25">
      <c r="A72" s="6">
        <v>46</v>
      </c>
      <c r="B72" s="6" t="s">
        <v>40</v>
      </c>
      <c r="C72" s="6" t="s">
        <v>160</v>
      </c>
      <c r="D72" s="6" t="s">
        <v>185</v>
      </c>
      <c r="E72" s="6" t="s">
        <v>193</v>
      </c>
      <c r="F72" s="6" t="s">
        <v>196</v>
      </c>
      <c r="G72" s="6" t="s">
        <v>239</v>
      </c>
      <c r="H72" s="55"/>
      <c r="I72" s="55"/>
      <c r="J72" s="55"/>
      <c r="K72" s="6" t="s">
        <v>239</v>
      </c>
      <c r="L72" s="6" t="b">
        <v>0</v>
      </c>
      <c r="M72" s="6" t="b">
        <v>0</v>
      </c>
      <c r="N72" s="6" t="s">
        <v>358</v>
      </c>
      <c r="O72" s="23" t="s">
        <v>656</v>
      </c>
      <c r="P72" s="7" t="s">
        <v>668</v>
      </c>
      <c r="Q72" s="7" t="s">
        <v>669</v>
      </c>
      <c r="R72" s="6"/>
      <c r="S72" s="6"/>
      <c r="T72" s="6">
        <v>3</v>
      </c>
      <c r="U72" s="39" t="s">
        <v>405</v>
      </c>
      <c r="V72" s="53" t="s">
        <v>429</v>
      </c>
      <c r="W72" s="23"/>
      <c r="X72" s="6">
        <v>275</v>
      </c>
      <c r="Y72" s="6">
        <f t="shared" si="6"/>
        <v>550</v>
      </c>
      <c r="Z72" s="6"/>
      <c r="AA72" s="39" t="s">
        <v>457</v>
      </c>
      <c r="AB72" s="39" t="s">
        <v>605</v>
      </c>
      <c r="AC72" s="39" t="s">
        <v>610</v>
      </c>
      <c r="AD72" s="39" t="s">
        <v>499</v>
      </c>
      <c r="AE72" s="39">
        <f>IF(AB72="승용차", INDEX('연료 자료'!$C$6:$F$11, MATCH(AD72,'연료 자료'!$B$6:$B$11, 0), MATCH(AC72,'연료 자료'!$C$5:$F$5, 0)), INDEX('연료 자료'!$G$6:$I$11, MATCH(AD72,'연료 자료'!$B$6:$B$11, 0), MATCH(AC72,'연료 자료'!$G$5:$I$5, 0)))</f>
        <v>3</v>
      </c>
      <c r="AF72" s="6">
        <f>VLOOKUP(AD72, 메모!$J$10:$L$19, 3, FALSE)</f>
        <v>2.6139999999999999</v>
      </c>
      <c r="AG72" s="50">
        <f t="shared" si="3"/>
        <v>239.61666666666667</v>
      </c>
    </row>
    <row r="73" spans="1:33" ht="18.95" customHeight="1" x14ac:dyDescent="0.25">
      <c r="A73" s="6">
        <v>47</v>
      </c>
      <c r="B73" s="6" t="s">
        <v>41</v>
      </c>
      <c r="C73" s="6" t="s">
        <v>160</v>
      </c>
      <c r="D73" s="6" t="s">
        <v>185</v>
      </c>
      <c r="E73" s="6" t="s">
        <v>193</v>
      </c>
      <c r="F73" s="6" t="s">
        <v>196</v>
      </c>
      <c r="G73" s="6" t="s">
        <v>240</v>
      </c>
      <c r="H73" s="55"/>
      <c r="I73" s="55"/>
      <c r="J73" s="55"/>
      <c r="K73" s="6" t="s">
        <v>240</v>
      </c>
      <c r="L73" s="6" t="b">
        <v>0</v>
      </c>
      <c r="M73" s="6" t="b">
        <v>0</v>
      </c>
      <c r="N73" s="6" t="s">
        <v>358</v>
      </c>
      <c r="O73" s="23" t="s">
        <v>656</v>
      </c>
      <c r="P73" s="7" t="s">
        <v>668</v>
      </c>
      <c r="Q73" s="7" t="s">
        <v>669</v>
      </c>
      <c r="R73" s="6"/>
      <c r="S73" s="6"/>
      <c r="T73" s="6">
        <v>3</v>
      </c>
      <c r="U73" s="39" t="s">
        <v>405</v>
      </c>
      <c r="V73" s="53" t="s">
        <v>429</v>
      </c>
      <c r="W73" s="23"/>
      <c r="X73" s="6">
        <v>275</v>
      </c>
      <c r="Y73" s="6">
        <f t="shared" si="6"/>
        <v>550</v>
      </c>
      <c r="Z73" s="6"/>
      <c r="AA73" s="39" t="s">
        <v>455</v>
      </c>
      <c r="AB73" s="39" t="s">
        <v>605</v>
      </c>
      <c r="AC73" s="39" t="s">
        <v>603</v>
      </c>
      <c r="AD73" s="39" t="s">
        <v>499</v>
      </c>
      <c r="AE73" s="39">
        <f>IF(AB73="승용차", INDEX('연료 자료'!$C$6:$F$11, MATCH(AD73,'연료 자료'!$B$6:$B$11, 0), MATCH(AC73,'연료 자료'!$C$5:$F$5, 0)), INDEX('연료 자료'!$G$6:$I$11, MATCH(AD73,'연료 자료'!$B$6:$B$11, 0), MATCH(AC73,'연료 자료'!$G$5:$I$5, 0)))</f>
        <v>9</v>
      </c>
      <c r="AF73" s="6">
        <f>VLOOKUP(AD73, 메모!$J$10:$L$19, 3, FALSE)</f>
        <v>2.6139999999999999</v>
      </c>
      <c r="AG73" s="50">
        <f t="shared" si="3"/>
        <v>79.87222222222222</v>
      </c>
    </row>
    <row r="74" spans="1:33" ht="18.95" customHeight="1" x14ac:dyDescent="0.25">
      <c r="A74" s="6">
        <v>48</v>
      </c>
      <c r="B74" s="6" t="s">
        <v>42</v>
      </c>
      <c r="C74" s="6" t="s">
        <v>160</v>
      </c>
      <c r="D74" s="6" t="s">
        <v>185</v>
      </c>
      <c r="E74" s="6" t="s">
        <v>193</v>
      </c>
      <c r="F74" s="6" t="s">
        <v>196</v>
      </c>
      <c r="G74" s="6" t="s">
        <v>241</v>
      </c>
      <c r="H74" s="55"/>
      <c r="I74" s="55"/>
      <c r="J74" s="55"/>
      <c r="K74" s="6" t="s">
        <v>241</v>
      </c>
      <c r="L74" s="6" t="b">
        <v>0</v>
      </c>
      <c r="M74" s="6" t="b">
        <v>0</v>
      </c>
      <c r="N74" s="6" t="s">
        <v>358</v>
      </c>
      <c r="O74" s="23" t="s">
        <v>656</v>
      </c>
      <c r="P74" s="7" t="s">
        <v>668</v>
      </c>
      <c r="Q74" s="7" t="s">
        <v>669</v>
      </c>
      <c r="R74" s="6"/>
      <c r="S74" s="6"/>
      <c r="T74" s="6">
        <v>3</v>
      </c>
      <c r="U74" s="39" t="s">
        <v>405</v>
      </c>
      <c r="V74" s="53" t="s">
        <v>429</v>
      </c>
      <c r="W74" s="23"/>
      <c r="X74" s="6">
        <v>275</v>
      </c>
      <c r="Y74" s="6">
        <f t="shared" si="6"/>
        <v>550</v>
      </c>
      <c r="Z74" s="6"/>
      <c r="AA74" s="39" t="s">
        <v>458</v>
      </c>
      <c r="AB74" s="39" t="s">
        <v>605</v>
      </c>
      <c r="AC74" s="39" t="s">
        <v>610</v>
      </c>
      <c r="AD74" s="39" t="s">
        <v>499</v>
      </c>
      <c r="AE74" s="39">
        <f>IF(AB74="승용차", INDEX('연료 자료'!$C$6:$F$11, MATCH(AD74,'연료 자료'!$B$6:$B$11, 0), MATCH(AC74,'연료 자료'!$C$5:$F$5, 0)), INDEX('연료 자료'!$G$6:$I$11, MATCH(AD74,'연료 자료'!$B$6:$B$11, 0), MATCH(AC74,'연료 자료'!$G$5:$I$5, 0)))</f>
        <v>3</v>
      </c>
      <c r="AF74" s="6">
        <f>VLOOKUP(AD74, 메모!$J$10:$L$19, 3, FALSE)</f>
        <v>2.6139999999999999</v>
      </c>
      <c r="AG74" s="50">
        <f t="shared" si="3"/>
        <v>239.61666666666667</v>
      </c>
    </row>
    <row r="75" spans="1:33" ht="18.95" customHeight="1" x14ac:dyDescent="0.25">
      <c r="A75" s="6">
        <v>50</v>
      </c>
      <c r="B75" s="6" t="s">
        <v>44</v>
      </c>
      <c r="C75" s="6" t="s">
        <v>160</v>
      </c>
      <c r="D75" s="6" t="s">
        <v>185</v>
      </c>
      <c r="E75" s="6" t="s">
        <v>193</v>
      </c>
      <c r="F75" s="6" t="s">
        <v>196</v>
      </c>
      <c r="G75" s="6" t="s">
        <v>243</v>
      </c>
      <c r="H75" s="55"/>
      <c r="I75" s="55"/>
      <c r="J75" s="55"/>
      <c r="K75" s="6" t="s">
        <v>243</v>
      </c>
      <c r="L75" s="6" t="b">
        <v>0</v>
      </c>
      <c r="M75" s="6" t="b">
        <v>0</v>
      </c>
      <c r="N75" s="6" t="s">
        <v>358</v>
      </c>
      <c r="O75" s="23" t="s">
        <v>656</v>
      </c>
      <c r="P75" s="7" t="s">
        <v>668</v>
      </c>
      <c r="Q75" s="7" t="s">
        <v>744</v>
      </c>
      <c r="R75" s="6"/>
      <c r="S75" s="6"/>
      <c r="T75" s="6">
        <v>3</v>
      </c>
      <c r="U75" s="39" t="s">
        <v>405</v>
      </c>
      <c r="V75" s="53" t="s">
        <v>756</v>
      </c>
      <c r="W75" s="23"/>
      <c r="X75" s="6">
        <v>9.3000000000000007</v>
      </c>
      <c r="Y75" s="6">
        <f t="shared" si="6"/>
        <v>18.600000000000001</v>
      </c>
      <c r="Z75" s="6"/>
      <c r="AA75" s="39" t="s">
        <v>459</v>
      </c>
      <c r="AB75" s="39" t="s">
        <v>605</v>
      </c>
      <c r="AC75" s="39" t="s">
        <v>726</v>
      </c>
      <c r="AD75" s="39" t="s">
        <v>499</v>
      </c>
      <c r="AE75" s="39">
        <f>IF(AB75="승용차", INDEX('연료 자료'!$C$6:$F$11, MATCH(AD75,'연료 자료'!$B$6:$B$11, 0), MATCH(AC75,'연료 자료'!$C$5:$F$5, 0)), INDEX('연료 자료'!$G$6:$I$11, MATCH(AD75,'연료 자료'!$B$6:$B$11, 0), MATCH(AC75,'연료 자료'!$G$5:$I$5, 0)))</f>
        <v>5</v>
      </c>
      <c r="AF75" s="6">
        <f>VLOOKUP(AD75, 메모!$J$10:$L$19, 3, FALSE)</f>
        <v>2.6139999999999999</v>
      </c>
      <c r="AG75" s="50">
        <f t="shared" si="3"/>
        <v>4.8620400000000004</v>
      </c>
    </row>
    <row r="76" spans="1:33" ht="18.95" customHeight="1" x14ac:dyDescent="0.25">
      <c r="A76" s="6">
        <v>63</v>
      </c>
      <c r="B76" s="6" t="s">
        <v>56</v>
      </c>
      <c r="C76" s="6" t="s">
        <v>160</v>
      </c>
      <c r="D76" s="6" t="s">
        <v>185</v>
      </c>
      <c r="E76" s="6" t="s">
        <v>193</v>
      </c>
      <c r="F76" s="6" t="s">
        <v>196</v>
      </c>
      <c r="G76" s="6" t="s">
        <v>255</v>
      </c>
      <c r="H76" s="55"/>
      <c r="I76" s="55"/>
      <c r="J76" s="55"/>
      <c r="K76" s="6" t="s">
        <v>255</v>
      </c>
      <c r="L76" s="6" t="b">
        <v>0</v>
      </c>
      <c r="M76" s="6" t="b">
        <v>0</v>
      </c>
      <c r="N76" s="6" t="s">
        <v>358</v>
      </c>
      <c r="O76" s="23" t="s">
        <v>656</v>
      </c>
      <c r="P76" s="7" t="s">
        <v>672</v>
      </c>
      <c r="Q76" s="6"/>
      <c r="R76" s="6"/>
      <c r="S76" s="6"/>
      <c r="T76" s="6">
        <v>3</v>
      </c>
      <c r="U76" s="39" t="s">
        <v>405</v>
      </c>
      <c r="V76" s="53" t="s">
        <v>373</v>
      </c>
      <c r="W76" s="23"/>
      <c r="X76" s="6">
        <v>29</v>
      </c>
      <c r="Y76" s="6">
        <f t="shared" si="6"/>
        <v>58</v>
      </c>
      <c r="Z76" s="6"/>
      <c r="AA76" s="39" t="s">
        <v>455</v>
      </c>
      <c r="AB76" s="39" t="s">
        <v>605</v>
      </c>
      <c r="AC76" s="39" t="s">
        <v>603</v>
      </c>
      <c r="AD76" s="39" t="s">
        <v>499</v>
      </c>
      <c r="AE76" s="39">
        <f>IF(AB76="승용차", INDEX('연료 자료'!$C$6:$F$11, MATCH(AD76,'연료 자료'!$B$6:$B$11, 0), MATCH(AC76,'연료 자료'!$C$5:$F$5, 0)), INDEX('연료 자료'!$G$6:$I$11, MATCH(AD76,'연료 자료'!$B$6:$B$11, 0), MATCH(AC76,'연료 자료'!$G$5:$I$5, 0)))</f>
        <v>9</v>
      </c>
      <c r="AF76" s="6">
        <f>VLOOKUP(AD76, 메모!$J$10:$L$19, 3, FALSE)</f>
        <v>2.6139999999999999</v>
      </c>
      <c r="AG76" s="50">
        <f t="shared" si="3"/>
        <v>8.4228888888888882</v>
      </c>
    </row>
    <row r="77" spans="1:33" ht="18.95" customHeight="1" x14ac:dyDescent="0.25">
      <c r="A77" s="6">
        <v>64</v>
      </c>
      <c r="B77" s="6" t="s">
        <v>57</v>
      </c>
      <c r="C77" s="6" t="s">
        <v>160</v>
      </c>
      <c r="D77" s="6" t="s">
        <v>185</v>
      </c>
      <c r="E77" s="6" t="s">
        <v>193</v>
      </c>
      <c r="F77" s="6" t="s">
        <v>196</v>
      </c>
      <c r="G77" s="6" t="s">
        <v>256</v>
      </c>
      <c r="H77" s="55"/>
      <c r="I77" s="55"/>
      <c r="J77" s="55"/>
      <c r="K77" s="6" t="s">
        <v>256</v>
      </c>
      <c r="L77" s="6" t="b">
        <v>0</v>
      </c>
      <c r="M77" s="6" t="b">
        <v>0</v>
      </c>
      <c r="N77" s="6" t="s">
        <v>358</v>
      </c>
      <c r="O77" s="23" t="s">
        <v>656</v>
      </c>
      <c r="P77" s="7" t="s">
        <v>672</v>
      </c>
      <c r="Q77" s="6"/>
      <c r="R77" s="6"/>
      <c r="S77" s="6"/>
      <c r="T77" s="6">
        <v>3</v>
      </c>
      <c r="U77" s="39" t="s">
        <v>405</v>
      </c>
      <c r="V77" s="53" t="s">
        <v>373</v>
      </c>
      <c r="W77" s="23"/>
      <c r="X77" s="6">
        <v>29</v>
      </c>
      <c r="Y77" s="6">
        <f t="shared" si="6"/>
        <v>58</v>
      </c>
      <c r="Z77" s="6"/>
      <c r="AA77" s="39" t="s">
        <v>455</v>
      </c>
      <c r="AB77" s="39" t="s">
        <v>605</v>
      </c>
      <c r="AC77" s="39" t="s">
        <v>603</v>
      </c>
      <c r="AD77" s="39" t="s">
        <v>499</v>
      </c>
      <c r="AE77" s="39">
        <f>IF(AB77="승용차", INDEX('연료 자료'!$C$6:$F$11, MATCH(AD77,'연료 자료'!$B$6:$B$11, 0), MATCH(AC77,'연료 자료'!$C$5:$F$5, 0)), INDEX('연료 자료'!$G$6:$I$11, MATCH(AD77,'연료 자료'!$B$6:$B$11, 0), MATCH(AC77,'연료 자료'!$G$5:$I$5, 0)))</f>
        <v>9</v>
      </c>
      <c r="AF77" s="6">
        <f>VLOOKUP(AD77, 메모!$J$10:$L$19, 3, FALSE)</f>
        <v>2.6139999999999999</v>
      </c>
      <c r="AG77" s="50">
        <f t="shared" si="3"/>
        <v>8.4228888888888882</v>
      </c>
    </row>
    <row r="78" spans="1:33" ht="18.95" customHeight="1" x14ac:dyDescent="0.25">
      <c r="A78" s="6">
        <v>92</v>
      </c>
      <c r="B78" s="6" t="s">
        <v>79</v>
      </c>
      <c r="C78" s="6" t="s">
        <v>160</v>
      </c>
      <c r="D78" s="6" t="s">
        <v>185</v>
      </c>
      <c r="E78" s="6" t="s">
        <v>193</v>
      </c>
      <c r="F78" s="6" t="s">
        <v>196</v>
      </c>
      <c r="G78" s="6" t="s">
        <v>278</v>
      </c>
      <c r="H78" s="55"/>
      <c r="I78" s="55"/>
      <c r="J78" s="55"/>
      <c r="K78" s="6" t="s">
        <v>278</v>
      </c>
      <c r="L78" s="6" t="b">
        <v>0</v>
      </c>
      <c r="M78" s="6" t="b">
        <v>0</v>
      </c>
      <c r="N78" s="6" t="s">
        <v>358</v>
      </c>
      <c r="O78" s="23" t="s">
        <v>656</v>
      </c>
      <c r="P78" s="7" t="s">
        <v>679</v>
      </c>
      <c r="Q78" s="7" t="s">
        <v>680</v>
      </c>
      <c r="R78" s="6"/>
      <c r="S78" s="6"/>
      <c r="T78" s="6">
        <v>3</v>
      </c>
      <c r="U78" s="39" t="s">
        <v>405</v>
      </c>
      <c r="V78" s="53" t="s">
        <v>412</v>
      </c>
      <c r="W78" s="23"/>
      <c r="X78" s="6">
        <v>395</v>
      </c>
      <c r="Y78" s="6">
        <f t="shared" si="6"/>
        <v>790</v>
      </c>
      <c r="Z78" s="6"/>
      <c r="AA78" s="39" t="s">
        <v>476</v>
      </c>
      <c r="AB78" s="39" t="s">
        <v>605</v>
      </c>
      <c r="AC78" s="39" t="s">
        <v>610</v>
      </c>
      <c r="AD78" s="39" t="s">
        <v>499</v>
      </c>
      <c r="AE78" s="39">
        <f>IF(AB78="승용차", INDEX('연료 자료'!$C$6:$F$11, MATCH(AD78,'연료 자료'!$B$6:$B$11, 0), MATCH(AC78,'연료 자료'!$C$5:$F$5, 0)), INDEX('연료 자료'!$G$6:$I$11, MATCH(AD78,'연료 자료'!$B$6:$B$11, 0), MATCH(AC78,'연료 자료'!$G$5:$I$5, 0)))</f>
        <v>3</v>
      </c>
      <c r="AF78" s="6">
        <f>VLOOKUP(AD78, 메모!$J$10:$L$19, 3, FALSE)</f>
        <v>2.6139999999999999</v>
      </c>
      <c r="AG78" s="50">
        <f t="shared" si="3"/>
        <v>344.17666666666662</v>
      </c>
    </row>
    <row r="79" spans="1:33" ht="18.95" customHeight="1" x14ac:dyDescent="0.25">
      <c r="A79" s="6">
        <v>182</v>
      </c>
      <c r="B79" s="6" t="s">
        <v>124</v>
      </c>
      <c r="C79" s="6" t="s">
        <v>167</v>
      </c>
      <c r="D79" s="6" t="s">
        <v>185</v>
      </c>
      <c r="E79" s="6" t="s">
        <v>194</v>
      </c>
      <c r="F79" s="6" t="s">
        <v>197</v>
      </c>
      <c r="G79" s="6" t="s">
        <v>322</v>
      </c>
      <c r="H79" s="55"/>
      <c r="I79" s="55"/>
      <c r="J79" s="55"/>
      <c r="K79" s="6" t="s">
        <v>278</v>
      </c>
      <c r="L79" s="6" t="b">
        <v>0</v>
      </c>
      <c r="M79" s="6" t="b">
        <v>0</v>
      </c>
      <c r="N79" s="6" t="s">
        <v>358</v>
      </c>
      <c r="O79" s="23" t="s">
        <v>656</v>
      </c>
      <c r="P79" s="7" t="s">
        <v>679</v>
      </c>
      <c r="Q79" s="7" t="s">
        <v>680</v>
      </c>
      <c r="R79" s="6"/>
      <c r="S79" s="6"/>
      <c r="T79" s="6">
        <v>3</v>
      </c>
      <c r="U79" s="39" t="s">
        <v>405</v>
      </c>
      <c r="V79" s="53" t="s">
        <v>412</v>
      </c>
      <c r="W79" s="6"/>
      <c r="X79" s="6">
        <v>395</v>
      </c>
      <c r="Y79" s="6">
        <f t="shared" si="6"/>
        <v>790</v>
      </c>
      <c r="Z79" s="6"/>
      <c r="AA79" s="47" t="s">
        <v>716</v>
      </c>
      <c r="AB79" s="39" t="s">
        <v>605</v>
      </c>
      <c r="AC79" s="7" t="s">
        <v>730</v>
      </c>
      <c r="AD79" s="39" t="s">
        <v>499</v>
      </c>
      <c r="AE79" s="6">
        <f>IF(AB79="승용차", INDEX('연료 자료'!$C$6:$F$11, MATCH(AD79,'연료 자료'!$B$6:$B$11, 0), MATCH(AC79,'연료 자료'!$C$5:$F$5, 0)), INDEX('연료 자료'!$G$6:$I$11, MATCH(AD79,'연료 자료'!$B$6:$B$11, 0), MATCH(AC79,'연료 자료'!$G$5:$I$5, 0)))</f>
        <v>5</v>
      </c>
      <c r="AF79" s="6">
        <f>VLOOKUP(AD79, 메모!$J$10:$L$19, 3, FALSE)</f>
        <v>2.6139999999999999</v>
      </c>
      <c r="AG79" s="50">
        <f t="shared" si="3"/>
        <v>206.506</v>
      </c>
    </row>
    <row r="80" spans="1:33" ht="18.95" customHeight="1" x14ac:dyDescent="0.25">
      <c r="A80" s="6">
        <v>188</v>
      </c>
      <c r="B80" s="6" t="s">
        <v>128</v>
      </c>
      <c r="C80" s="6" t="s">
        <v>168</v>
      </c>
      <c r="D80" s="6" t="s">
        <v>185</v>
      </c>
      <c r="E80" s="6" t="s">
        <v>193</v>
      </c>
      <c r="F80" s="6" t="s">
        <v>196</v>
      </c>
      <c r="G80" s="6" t="s">
        <v>238</v>
      </c>
      <c r="H80" s="55"/>
      <c r="I80" s="55"/>
      <c r="J80" s="55"/>
      <c r="K80" s="44" t="s">
        <v>382</v>
      </c>
      <c r="L80" s="6" t="b">
        <v>0</v>
      </c>
      <c r="M80" s="6" t="b">
        <v>0</v>
      </c>
      <c r="N80" s="6" t="s">
        <v>358</v>
      </c>
      <c r="O80" s="44" t="s">
        <v>656</v>
      </c>
      <c r="P80" s="44" t="s">
        <v>666</v>
      </c>
      <c r="Q80" s="7" t="s">
        <v>664</v>
      </c>
      <c r="R80" s="44" t="s">
        <v>667</v>
      </c>
      <c r="S80" s="6"/>
      <c r="T80" s="6">
        <v>3</v>
      </c>
      <c r="U80" s="39" t="s">
        <v>405</v>
      </c>
      <c r="V80" s="53" t="s">
        <v>427</v>
      </c>
      <c r="W80" s="23"/>
      <c r="X80" s="6">
        <v>37</v>
      </c>
      <c r="Y80" s="6">
        <f t="shared" si="6"/>
        <v>74</v>
      </c>
      <c r="Z80" s="6"/>
      <c r="AA80" s="39" t="s">
        <v>488</v>
      </c>
      <c r="AB80" s="39" t="s">
        <v>605</v>
      </c>
      <c r="AC80" s="39" t="s">
        <v>610</v>
      </c>
      <c r="AD80" s="39" t="s">
        <v>499</v>
      </c>
      <c r="AE80" s="39">
        <f>IF(AB80="승용차", INDEX('연료 자료'!$C$6:$F$11, MATCH(AD80,'연료 자료'!$B$6:$B$11, 0), MATCH(AC80,'연료 자료'!$C$5:$F$5, 0)), INDEX('연료 자료'!$G$6:$I$11, MATCH(AD80,'연료 자료'!$B$6:$B$11, 0), MATCH(AC80,'연료 자료'!$G$5:$I$5, 0)))</f>
        <v>3</v>
      </c>
      <c r="AF80" s="6">
        <f>VLOOKUP(AD80, 메모!$J$10:$L$19, 3, FALSE)</f>
        <v>2.6139999999999999</v>
      </c>
      <c r="AG80" s="50">
        <f t="shared" si="3"/>
        <v>32.239333333333335</v>
      </c>
    </row>
    <row r="81" spans="1:33" ht="18.95" customHeight="1" x14ac:dyDescent="0.25">
      <c r="A81" s="6">
        <v>210</v>
      </c>
      <c r="B81" s="6" t="s">
        <v>137</v>
      </c>
      <c r="C81" s="6" t="s">
        <v>174</v>
      </c>
      <c r="D81" s="6" t="s">
        <v>185</v>
      </c>
      <c r="E81" s="6" t="s">
        <v>193</v>
      </c>
      <c r="F81" s="6" t="s">
        <v>196</v>
      </c>
      <c r="G81" s="6" t="s">
        <v>335</v>
      </c>
      <c r="H81" s="55"/>
      <c r="I81" s="55"/>
      <c r="J81" s="55"/>
      <c r="K81" s="39" t="s">
        <v>396</v>
      </c>
      <c r="L81" s="6" t="b">
        <v>0</v>
      </c>
      <c r="M81" s="6" t="b">
        <v>0</v>
      </c>
      <c r="N81" s="6" t="s">
        <v>358</v>
      </c>
      <c r="O81" s="39" t="s">
        <v>656</v>
      </c>
      <c r="P81" s="39" t="s">
        <v>743</v>
      </c>
      <c r="Q81" s="7" t="s">
        <v>669</v>
      </c>
      <c r="R81" s="39"/>
      <c r="S81" s="6"/>
      <c r="T81" s="6">
        <v>3</v>
      </c>
      <c r="U81" s="39" t="s">
        <v>405</v>
      </c>
      <c r="V81" s="53" t="s">
        <v>429</v>
      </c>
      <c r="W81" s="23"/>
      <c r="X81" s="6">
        <v>275</v>
      </c>
      <c r="Y81" s="6">
        <f t="shared" si="6"/>
        <v>550</v>
      </c>
      <c r="Z81" s="6"/>
      <c r="AA81" s="39" t="s">
        <v>491</v>
      </c>
      <c r="AB81" s="39" t="s">
        <v>605</v>
      </c>
      <c r="AC81" s="39" t="s">
        <v>610</v>
      </c>
      <c r="AD81" s="39" t="s">
        <v>499</v>
      </c>
      <c r="AE81" s="39">
        <f>IF(AB81="승용차", INDEX('연료 자료'!$C$6:$F$11, MATCH(AD81,'연료 자료'!$B$6:$B$11, 0), MATCH(AC81,'연료 자료'!$C$5:$F$5, 0)), INDEX('연료 자료'!$G$6:$I$11, MATCH(AD81,'연료 자료'!$B$6:$B$11, 0), MATCH(AC81,'연료 자료'!$G$5:$I$5, 0)))</f>
        <v>3</v>
      </c>
      <c r="AF81" s="6">
        <f>VLOOKUP(AD81, 메모!$J$10:$L$19, 3, FALSE)</f>
        <v>2.6139999999999999</v>
      </c>
      <c r="AG81" s="50">
        <f t="shared" si="3"/>
        <v>239.61666666666667</v>
      </c>
    </row>
    <row r="82" spans="1:33" ht="18.95" customHeight="1" x14ac:dyDescent="0.25">
      <c r="A82" s="6">
        <v>178</v>
      </c>
      <c r="B82" s="6" t="s">
        <v>122</v>
      </c>
      <c r="C82" s="6" t="s">
        <v>167</v>
      </c>
      <c r="D82" s="6" t="s">
        <v>185</v>
      </c>
      <c r="E82" s="6" t="s">
        <v>193</v>
      </c>
      <c r="F82" s="6" t="s">
        <v>196</v>
      </c>
      <c r="G82" s="6" t="s">
        <v>320</v>
      </c>
      <c r="H82" s="55"/>
      <c r="I82" s="55"/>
      <c r="J82" s="55"/>
      <c r="K82" s="39" t="s">
        <v>394</v>
      </c>
      <c r="L82" s="6" t="b">
        <v>0</v>
      </c>
      <c r="M82" s="6" t="b">
        <v>0</v>
      </c>
      <c r="N82" s="6" t="s">
        <v>358</v>
      </c>
      <c r="O82" s="39" t="s">
        <v>659</v>
      </c>
      <c r="P82" s="39"/>
      <c r="Q82" s="39"/>
      <c r="R82" s="39"/>
      <c r="S82" s="6"/>
      <c r="T82" s="6">
        <v>3</v>
      </c>
      <c r="U82" s="39"/>
      <c r="V82" s="53" t="s">
        <v>426</v>
      </c>
      <c r="W82" s="23"/>
      <c r="X82" s="6">
        <v>86</v>
      </c>
      <c r="Y82" s="6">
        <f t="shared" si="6"/>
        <v>172</v>
      </c>
      <c r="Z82" s="6"/>
      <c r="AA82" s="39" t="s">
        <v>467</v>
      </c>
      <c r="AB82" s="39" t="s">
        <v>605</v>
      </c>
      <c r="AC82" s="39" t="s">
        <v>726</v>
      </c>
      <c r="AD82" s="39" t="s">
        <v>499</v>
      </c>
      <c r="AE82" s="39">
        <f>IF(AB82="승용차", INDEX('연료 자료'!$C$6:$F$11, MATCH(AD82,'연료 자료'!$B$6:$B$11, 0), MATCH(AC82,'연료 자료'!$C$5:$F$5, 0)), INDEX('연료 자료'!$G$6:$I$11, MATCH(AD82,'연료 자료'!$B$6:$B$11, 0), MATCH(AC82,'연료 자료'!$G$5:$I$5, 0)))</f>
        <v>5</v>
      </c>
      <c r="AF82" s="6">
        <f>VLOOKUP(AD82, 메모!$J$10:$L$19, 3, FALSE)</f>
        <v>2.6139999999999999</v>
      </c>
      <c r="AG82" s="50">
        <f t="shared" si="3"/>
        <v>44.960799999999999</v>
      </c>
    </row>
    <row r="83" spans="1:33" ht="18.95" customHeight="1" x14ac:dyDescent="0.25">
      <c r="A83" s="6">
        <v>68</v>
      </c>
      <c r="B83" s="45" t="s">
        <v>58</v>
      </c>
      <c r="C83" s="45" t="s">
        <v>160</v>
      </c>
      <c r="D83" s="45" t="s">
        <v>185</v>
      </c>
      <c r="E83" s="45" t="s">
        <v>193</v>
      </c>
      <c r="F83" s="45" t="s">
        <v>196</v>
      </c>
      <c r="G83" s="45" t="s">
        <v>257</v>
      </c>
      <c r="H83" s="55"/>
      <c r="I83" s="55"/>
      <c r="J83" s="55"/>
      <c r="K83" s="45" t="s">
        <v>257</v>
      </c>
      <c r="L83" s="6" t="b">
        <v>0</v>
      </c>
      <c r="M83" s="6" t="b">
        <v>0</v>
      </c>
      <c r="N83" s="6" t="s">
        <v>358</v>
      </c>
      <c r="O83" s="39" t="s">
        <v>739</v>
      </c>
      <c r="P83" s="46" t="s">
        <v>673</v>
      </c>
      <c r="Q83" s="45"/>
      <c r="R83" s="45"/>
      <c r="S83" s="6"/>
      <c r="T83" s="6">
        <v>3</v>
      </c>
      <c r="U83" s="39" t="s">
        <v>405</v>
      </c>
      <c r="V83" s="53" t="s">
        <v>374</v>
      </c>
      <c r="W83" s="47"/>
      <c r="X83" s="6">
        <v>86</v>
      </c>
      <c r="Y83" s="6">
        <f t="shared" si="6"/>
        <v>172</v>
      </c>
      <c r="Z83" s="6"/>
      <c r="AA83" s="39" t="s">
        <v>466</v>
      </c>
      <c r="AB83" s="39" t="s">
        <v>605</v>
      </c>
      <c r="AC83" s="39" t="s">
        <v>726</v>
      </c>
      <c r="AD83" s="39" t="s">
        <v>499</v>
      </c>
      <c r="AE83" s="39">
        <f>IF(AB83="승용차", INDEX('연료 자료'!$C$6:$F$11, MATCH(AD83,'연료 자료'!$B$6:$B$11, 0), MATCH(AC83,'연료 자료'!$C$5:$F$5, 0)), INDEX('연료 자료'!$G$6:$I$11, MATCH(AD83,'연료 자료'!$B$6:$B$11, 0), MATCH(AC83,'연료 자료'!$G$5:$I$5, 0)))</f>
        <v>5</v>
      </c>
      <c r="AF83" s="6">
        <f>VLOOKUP(AD83, 메모!$J$10:$L$19, 3, FALSE)</f>
        <v>2.6139999999999999</v>
      </c>
      <c r="AG83" s="50">
        <f t="shared" si="3"/>
        <v>44.960799999999999</v>
      </c>
    </row>
    <row r="84" spans="1:33" ht="18.95" customHeight="1" x14ac:dyDescent="0.25">
      <c r="A84" s="6">
        <v>69</v>
      </c>
      <c r="B84" s="6" t="s">
        <v>59</v>
      </c>
      <c r="C84" s="6" t="s">
        <v>160</v>
      </c>
      <c r="D84" s="6" t="s">
        <v>185</v>
      </c>
      <c r="E84" s="6" t="s">
        <v>193</v>
      </c>
      <c r="F84" s="6" t="s">
        <v>196</v>
      </c>
      <c r="G84" s="6" t="s">
        <v>258</v>
      </c>
      <c r="H84" s="55"/>
      <c r="I84" s="55"/>
      <c r="J84" s="55"/>
      <c r="K84" s="6" t="s">
        <v>258</v>
      </c>
      <c r="L84" s="6" t="b">
        <v>0</v>
      </c>
      <c r="M84" s="6" t="b">
        <v>0</v>
      </c>
      <c r="N84" s="6" t="s">
        <v>358</v>
      </c>
      <c r="O84" s="39" t="s">
        <v>739</v>
      </c>
      <c r="P84" s="46" t="s">
        <v>673</v>
      </c>
      <c r="Q84" s="6"/>
      <c r="R84" s="6"/>
      <c r="S84" s="6"/>
      <c r="T84" s="6">
        <v>3</v>
      </c>
      <c r="U84" s="39" t="s">
        <v>405</v>
      </c>
      <c r="V84" s="53" t="s">
        <v>508</v>
      </c>
      <c r="W84" s="23"/>
      <c r="X84" s="6">
        <v>86</v>
      </c>
      <c r="Y84" s="6">
        <f t="shared" si="6"/>
        <v>172</v>
      </c>
      <c r="Z84" s="6"/>
      <c r="AA84" s="39" t="s">
        <v>467</v>
      </c>
      <c r="AB84" s="39" t="s">
        <v>605</v>
      </c>
      <c r="AC84" s="48" t="s">
        <v>726</v>
      </c>
      <c r="AD84" s="39" t="s">
        <v>499</v>
      </c>
      <c r="AE84" s="39">
        <f>IF(AB84="승용차", INDEX('연료 자료'!$C$6:$F$11, MATCH(AD84,'연료 자료'!$B$6:$B$11, 0), MATCH(AC84,'연료 자료'!$C$5:$F$5, 0)), INDEX('연료 자료'!$G$6:$I$11, MATCH(AD84,'연료 자료'!$B$6:$B$11, 0), MATCH(AC84,'연료 자료'!$G$5:$I$5, 0)))</f>
        <v>5</v>
      </c>
      <c r="AF84" s="6">
        <f>VLOOKUP(AD84, 메모!$J$10:$L$19, 3, FALSE)</f>
        <v>2.6139999999999999</v>
      </c>
      <c r="AG84" s="50">
        <f t="shared" si="3"/>
        <v>44.960799999999999</v>
      </c>
    </row>
    <row r="85" spans="1:33" ht="18.95" customHeight="1" x14ac:dyDescent="0.25">
      <c r="A85" s="6">
        <v>76</v>
      </c>
      <c r="B85" s="6" t="s">
        <v>66</v>
      </c>
      <c r="C85" s="6" t="s">
        <v>160</v>
      </c>
      <c r="D85" s="6" t="s">
        <v>185</v>
      </c>
      <c r="E85" s="6" t="s">
        <v>193</v>
      </c>
      <c r="F85" s="6" t="s">
        <v>196</v>
      </c>
      <c r="G85" s="6" t="s">
        <v>265</v>
      </c>
      <c r="H85" s="55"/>
      <c r="I85" s="55"/>
      <c r="J85" s="55"/>
      <c r="K85" s="6" t="s">
        <v>265</v>
      </c>
      <c r="L85" s="6" t="b">
        <v>0</v>
      </c>
      <c r="M85" s="6" t="b">
        <v>0</v>
      </c>
      <c r="N85" s="6" t="s">
        <v>358</v>
      </c>
      <c r="O85" s="39" t="s">
        <v>739</v>
      </c>
      <c r="P85" s="7" t="s">
        <v>671</v>
      </c>
      <c r="Q85" s="6"/>
      <c r="R85" s="6"/>
      <c r="S85" s="6"/>
      <c r="T85" s="6">
        <v>3</v>
      </c>
      <c r="U85" s="39" t="s">
        <v>405</v>
      </c>
      <c r="V85" s="53" t="s">
        <v>509</v>
      </c>
      <c r="W85" s="23"/>
      <c r="X85" s="6">
        <v>85</v>
      </c>
      <c r="Y85" s="6">
        <f t="shared" si="6"/>
        <v>170</v>
      </c>
      <c r="Z85" s="6"/>
      <c r="AA85" s="39" t="s">
        <v>470</v>
      </c>
      <c r="AB85" s="39" t="s">
        <v>605</v>
      </c>
      <c r="AC85" s="39" t="s">
        <v>610</v>
      </c>
      <c r="AD85" s="39" t="s">
        <v>499</v>
      </c>
      <c r="AE85" s="39">
        <f>IF(AB85="승용차", INDEX('연료 자료'!$C$6:$F$11, MATCH(AD85,'연료 자료'!$B$6:$B$11, 0), MATCH(AC85,'연료 자료'!$C$5:$F$5, 0)), INDEX('연료 자료'!$G$6:$I$11, MATCH(AD85,'연료 자료'!$B$6:$B$11, 0), MATCH(AC85,'연료 자료'!$G$5:$I$5, 0)))</f>
        <v>3</v>
      </c>
      <c r="AF85" s="6">
        <f>VLOOKUP(AD85, 메모!$J$10:$L$19, 3, FALSE)</f>
        <v>2.6139999999999999</v>
      </c>
      <c r="AG85" s="50">
        <f t="shared" si="3"/>
        <v>74.063333333333333</v>
      </c>
    </row>
    <row r="86" spans="1:33" ht="18.95" customHeight="1" x14ac:dyDescent="0.25">
      <c r="A86" s="6">
        <v>98</v>
      </c>
      <c r="B86" s="6" t="s">
        <v>82</v>
      </c>
      <c r="C86" s="6" t="s">
        <v>160</v>
      </c>
      <c r="D86" s="6" t="s">
        <v>185</v>
      </c>
      <c r="E86" s="6" t="s">
        <v>193</v>
      </c>
      <c r="F86" s="6" t="s">
        <v>196</v>
      </c>
      <c r="G86" s="6" t="s">
        <v>281</v>
      </c>
      <c r="H86" s="55"/>
      <c r="I86" s="55"/>
      <c r="J86" s="55"/>
      <c r="K86" s="6" t="s">
        <v>281</v>
      </c>
      <c r="L86" s="6" t="b">
        <v>0</v>
      </c>
      <c r="M86" s="6" t="b">
        <v>0</v>
      </c>
      <c r="N86" s="6" t="s">
        <v>358</v>
      </c>
      <c r="O86" s="39" t="s">
        <v>739</v>
      </c>
      <c r="P86" s="6"/>
      <c r="Q86" s="6"/>
      <c r="R86" s="6"/>
      <c r="S86" s="6"/>
      <c r="T86" s="6">
        <v>3</v>
      </c>
      <c r="U86" s="39" t="s">
        <v>405</v>
      </c>
      <c r="V86" s="53" t="s">
        <v>414</v>
      </c>
      <c r="W86" s="23"/>
      <c r="X86" s="6">
        <v>85</v>
      </c>
      <c r="Y86" s="6">
        <f t="shared" si="6"/>
        <v>170</v>
      </c>
      <c r="Z86" s="6"/>
      <c r="AA86" s="39" t="s">
        <v>455</v>
      </c>
      <c r="AB86" s="39" t="s">
        <v>605</v>
      </c>
      <c r="AC86" s="39" t="s">
        <v>603</v>
      </c>
      <c r="AD86" s="39" t="s">
        <v>499</v>
      </c>
      <c r="AE86" s="39">
        <f>IF(AB86="승용차", INDEX('연료 자료'!$C$6:$F$11, MATCH(AD86,'연료 자료'!$B$6:$B$11, 0), MATCH(AC86,'연료 자료'!$C$5:$F$5, 0)), INDEX('연료 자료'!$G$6:$I$11, MATCH(AD86,'연료 자료'!$B$6:$B$11, 0), MATCH(AC86,'연료 자료'!$G$5:$I$5, 0)))</f>
        <v>9</v>
      </c>
      <c r="AF86" s="6">
        <f>VLOOKUP(AD86, 메모!$J$10:$L$19, 3, FALSE)</f>
        <v>2.6139999999999999</v>
      </c>
      <c r="AG86" s="50">
        <f t="shared" si="3"/>
        <v>24.687777777777779</v>
      </c>
    </row>
    <row r="87" spans="1:33" ht="18.95" customHeight="1" x14ac:dyDescent="0.25">
      <c r="A87" s="6">
        <v>99</v>
      </c>
      <c r="B87" s="6" t="s">
        <v>83</v>
      </c>
      <c r="C87" s="6" t="s">
        <v>160</v>
      </c>
      <c r="D87" s="6" t="s">
        <v>185</v>
      </c>
      <c r="E87" s="6" t="s">
        <v>193</v>
      </c>
      <c r="F87" s="6" t="s">
        <v>196</v>
      </c>
      <c r="G87" s="6" t="s">
        <v>282</v>
      </c>
      <c r="H87" s="55"/>
      <c r="I87" s="55"/>
      <c r="J87" s="55"/>
      <c r="K87" s="6" t="s">
        <v>282</v>
      </c>
      <c r="L87" s="6" t="b">
        <v>0</v>
      </c>
      <c r="M87" s="6" t="b">
        <v>0</v>
      </c>
      <c r="N87" s="6" t="s">
        <v>358</v>
      </c>
      <c r="O87" s="39" t="s">
        <v>739</v>
      </c>
      <c r="P87" s="6"/>
      <c r="Q87" s="6"/>
      <c r="R87" s="6"/>
      <c r="S87" s="6"/>
      <c r="T87" s="6">
        <v>3</v>
      </c>
      <c r="U87" s="39" t="s">
        <v>405</v>
      </c>
      <c r="V87" s="53" t="s">
        <v>414</v>
      </c>
      <c r="W87" s="23"/>
      <c r="X87" s="6">
        <v>85</v>
      </c>
      <c r="Y87" s="6">
        <f t="shared" si="6"/>
        <v>170</v>
      </c>
      <c r="Z87" s="6"/>
      <c r="AA87" s="39" t="s">
        <v>467</v>
      </c>
      <c r="AB87" s="39" t="s">
        <v>605</v>
      </c>
      <c r="AC87" s="39" t="s">
        <v>726</v>
      </c>
      <c r="AD87" s="39" t="s">
        <v>499</v>
      </c>
      <c r="AE87" s="39">
        <f>IF(AB87="승용차", INDEX('연료 자료'!$C$6:$F$11, MATCH(AD87,'연료 자료'!$B$6:$B$11, 0), MATCH(AC87,'연료 자료'!$C$5:$F$5, 0)), INDEX('연료 자료'!$G$6:$I$11, MATCH(AD87,'연료 자료'!$B$6:$B$11, 0), MATCH(AC87,'연료 자료'!$G$5:$I$5, 0)))</f>
        <v>5</v>
      </c>
      <c r="AF87" s="6">
        <f>VLOOKUP(AD87, 메모!$J$10:$L$19, 3, FALSE)</f>
        <v>2.6139999999999999</v>
      </c>
      <c r="AG87" s="50">
        <f t="shared" si="3"/>
        <v>44.437999999999995</v>
      </c>
    </row>
    <row r="88" spans="1:33" ht="18.95" customHeight="1" x14ac:dyDescent="0.25">
      <c r="A88" s="6">
        <v>160</v>
      </c>
      <c r="B88" s="6" t="s">
        <v>115</v>
      </c>
      <c r="C88" s="6" t="s">
        <v>164</v>
      </c>
      <c r="D88" s="6" t="s">
        <v>185</v>
      </c>
      <c r="E88" s="6" t="s">
        <v>193</v>
      </c>
      <c r="F88" s="6" t="s">
        <v>196</v>
      </c>
      <c r="G88" s="6" t="s">
        <v>313</v>
      </c>
      <c r="H88" s="55"/>
      <c r="I88" s="55"/>
      <c r="J88" s="55"/>
      <c r="K88" s="6" t="s">
        <v>265</v>
      </c>
      <c r="L88" s="6" t="b">
        <v>0</v>
      </c>
      <c r="M88" s="6" t="b">
        <v>0</v>
      </c>
      <c r="N88" s="6" t="s">
        <v>358</v>
      </c>
      <c r="O88" s="39" t="s">
        <v>739</v>
      </c>
      <c r="P88" s="7" t="s">
        <v>671</v>
      </c>
      <c r="Q88" s="6"/>
      <c r="R88" s="6"/>
      <c r="S88" s="6"/>
      <c r="T88" s="6">
        <v>3</v>
      </c>
      <c r="U88" s="39" t="s">
        <v>405</v>
      </c>
      <c r="V88" s="53" t="s">
        <v>414</v>
      </c>
      <c r="W88" s="6"/>
      <c r="X88" s="6">
        <v>85</v>
      </c>
      <c r="Y88" s="6">
        <f t="shared" si="6"/>
        <v>170</v>
      </c>
      <c r="Z88" s="6"/>
      <c r="AA88" s="39" t="s">
        <v>727</v>
      </c>
      <c r="AB88" s="39" t="s">
        <v>605</v>
      </c>
      <c r="AC88" s="39" t="s">
        <v>603</v>
      </c>
      <c r="AD88" s="39" t="s">
        <v>499</v>
      </c>
      <c r="AE88" s="6">
        <f>IF(AB88="승용차", INDEX('연료 자료'!$C$6:$F$11, MATCH(AD88,'연료 자료'!$B$6:$B$11, 0), MATCH(AC88,'연료 자료'!$C$5:$F$5, 0)), INDEX('연료 자료'!$G$6:$I$11, MATCH(AD88,'연료 자료'!$B$6:$B$11, 0), MATCH(AC88,'연료 자료'!$G$5:$I$5, 0)))</f>
        <v>9</v>
      </c>
      <c r="AF88" s="6">
        <f>VLOOKUP(AD88, 메모!$J$10:$L$19, 3, FALSE)</f>
        <v>2.6139999999999999</v>
      </c>
      <c r="AG88" s="50">
        <f t="shared" si="3"/>
        <v>24.687777777777779</v>
      </c>
    </row>
    <row r="89" spans="1:33" ht="18.95" customHeight="1" x14ac:dyDescent="0.25">
      <c r="A89" s="6">
        <v>51</v>
      </c>
      <c r="B89" s="6" t="s">
        <v>45</v>
      </c>
      <c r="C89" s="6" t="s">
        <v>160</v>
      </c>
      <c r="D89" s="6" t="s">
        <v>185</v>
      </c>
      <c r="E89" s="6" t="s">
        <v>193</v>
      </c>
      <c r="F89" s="6" t="s">
        <v>196</v>
      </c>
      <c r="G89" s="6" t="s">
        <v>244</v>
      </c>
      <c r="H89" s="55"/>
      <c r="I89" s="55"/>
      <c r="J89" s="55"/>
      <c r="K89" s="44" t="s">
        <v>392</v>
      </c>
      <c r="L89" s="6" t="b">
        <v>0</v>
      </c>
      <c r="M89" s="6" t="b">
        <v>0</v>
      </c>
      <c r="N89" s="6" t="s">
        <v>358</v>
      </c>
      <c r="O89" s="23" t="s">
        <v>685</v>
      </c>
      <c r="P89" s="6"/>
      <c r="Q89" s="6"/>
      <c r="R89" s="6"/>
      <c r="S89" s="6"/>
      <c r="T89" s="6">
        <v>3</v>
      </c>
      <c r="U89" s="39" t="s">
        <v>405</v>
      </c>
      <c r="V89" s="53" t="s">
        <v>384</v>
      </c>
      <c r="W89" s="39"/>
      <c r="X89" s="6">
        <v>26</v>
      </c>
      <c r="Y89" s="6">
        <f t="shared" si="6"/>
        <v>52</v>
      </c>
      <c r="Z89" s="6"/>
      <c r="AA89" s="39" t="s">
        <v>460</v>
      </c>
      <c r="AB89" s="39" t="s">
        <v>605</v>
      </c>
      <c r="AC89" s="39" t="s">
        <v>726</v>
      </c>
      <c r="AD89" s="39" t="s">
        <v>499</v>
      </c>
      <c r="AE89" s="39">
        <f>IF(AB89="승용차", INDEX('연료 자료'!$C$6:$F$11, MATCH(AD89,'연료 자료'!$B$6:$B$11, 0), MATCH(AC89,'연료 자료'!$C$5:$F$5, 0)), INDEX('연료 자료'!$G$6:$I$11, MATCH(AD89,'연료 자료'!$B$6:$B$11, 0), MATCH(AC89,'연료 자료'!$G$5:$I$5, 0)))</f>
        <v>5</v>
      </c>
      <c r="AF89" s="6">
        <f>VLOOKUP(AD89, 메모!$J$10:$L$19, 3, FALSE)</f>
        <v>2.6139999999999999</v>
      </c>
      <c r="AG89" s="50">
        <f t="shared" si="3"/>
        <v>13.5928</v>
      </c>
    </row>
    <row r="90" spans="1:33" ht="18.95" customHeight="1" x14ac:dyDescent="0.25">
      <c r="A90" s="6">
        <v>52</v>
      </c>
      <c r="B90" s="6" t="s">
        <v>46</v>
      </c>
      <c r="C90" s="6" t="s">
        <v>160</v>
      </c>
      <c r="D90" s="6" t="s">
        <v>185</v>
      </c>
      <c r="E90" s="6" t="s">
        <v>193</v>
      </c>
      <c r="F90" s="6" t="s">
        <v>196</v>
      </c>
      <c r="G90" s="6" t="s">
        <v>245</v>
      </c>
      <c r="H90" s="55"/>
      <c r="I90" s="55"/>
      <c r="J90" s="55"/>
      <c r="K90" s="44" t="s">
        <v>392</v>
      </c>
      <c r="L90" s="6" t="b">
        <v>0</v>
      </c>
      <c r="M90" s="6" t="b">
        <v>0</v>
      </c>
      <c r="N90" s="6" t="s">
        <v>358</v>
      </c>
      <c r="O90" s="23" t="s">
        <v>685</v>
      </c>
      <c r="P90" s="6"/>
      <c r="Q90" s="6"/>
      <c r="R90" s="6"/>
      <c r="S90" s="6"/>
      <c r="T90" s="6">
        <v>3</v>
      </c>
      <c r="U90" s="39" t="s">
        <v>405</v>
      </c>
      <c r="V90" s="53" t="s">
        <v>384</v>
      </c>
      <c r="W90" s="39"/>
      <c r="X90" s="6">
        <v>26</v>
      </c>
      <c r="Y90" s="6">
        <f t="shared" si="6"/>
        <v>52</v>
      </c>
      <c r="Z90" s="6"/>
      <c r="AA90" s="39" t="s">
        <v>455</v>
      </c>
      <c r="AB90" s="39" t="s">
        <v>605</v>
      </c>
      <c r="AC90" s="39" t="s">
        <v>603</v>
      </c>
      <c r="AD90" s="39" t="s">
        <v>499</v>
      </c>
      <c r="AE90" s="39">
        <f>IF(AB90="승용차", INDEX('연료 자료'!$C$6:$F$11, MATCH(AD90,'연료 자료'!$B$6:$B$11, 0), MATCH(AC90,'연료 자료'!$C$5:$F$5, 0)), INDEX('연료 자료'!$G$6:$I$11, MATCH(AD90,'연료 자료'!$B$6:$B$11, 0), MATCH(AC90,'연료 자료'!$G$5:$I$5, 0)))</f>
        <v>9</v>
      </c>
      <c r="AF90" s="6">
        <f>VLOOKUP(AD90, 메모!$J$10:$L$19, 3, FALSE)</f>
        <v>2.6139999999999999</v>
      </c>
      <c r="AG90" s="50">
        <f t="shared" si="3"/>
        <v>7.5515555555555549</v>
      </c>
    </row>
    <row r="91" spans="1:33" ht="18.95" customHeight="1" x14ac:dyDescent="0.25">
      <c r="A91" s="6">
        <v>53</v>
      </c>
      <c r="B91" s="6" t="s">
        <v>47</v>
      </c>
      <c r="C91" s="6" t="s">
        <v>160</v>
      </c>
      <c r="D91" s="6" t="s">
        <v>185</v>
      </c>
      <c r="E91" s="6" t="s">
        <v>193</v>
      </c>
      <c r="F91" s="6" t="s">
        <v>196</v>
      </c>
      <c r="G91" s="6" t="s">
        <v>246</v>
      </c>
      <c r="H91" s="55"/>
      <c r="I91" s="55"/>
      <c r="J91" s="55"/>
      <c r="K91" s="44" t="s">
        <v>392</v>
      </c>
      <c r="L91" s="6" t="b">
        <v>0</v>
      </c>
      <c r="M91" s="6" t="b">
        <v>0</v>
      </c>
      <c r="N91" s="6" t="s">
        <v>358</v>
      </c>
      <c r="O91" s="23" t="s">
        <v>685</v>
      </c>
      <c r="P91" s="6"/>
      <c r="Q91" s="6"/>
      <c r="R91" s="6"/>
      <c r="S91" s="6"/>
      <c r="T91" s="6">
        <v>3</v>
      </c>
      <c r="U91" s="39" t="s">
        <v>405</v>
      </c>
      <c r="V91" s="53" t="s">
        <v>384</v>
      </c>
      <c r="W91" s="39"/>
      <c r="X91" s="6">
        <v>26</v>
      </c>
      <c r="Y91" s="6">
        <f t="shared" si="6"/>
        <v>52</v>
      </c>
      <c r="Z91" s="6"/>
      <c r="AA91" s="39" t="s">
        <v>461</v>
      </c>
      <c r="AB91" s="39" t="s">
        <v>502</v>
      </c>
      <c r="AC91" s="39" t="s">
        <v>502</v>
      </c>
      <c r="AD91" s="39" t="s">
        <v>502</v>
      </c>
      <c r="AE91" s="39" t="e">
        <f>IF(AB91="승용차", INDEX('연료 자료'!$C$6:$F$11, MATCH(AD91,'연료 자료'!$B$6:$B$11, 0), MATCH(AC91,'연료 자료'!$C$5:$F$5, 0)), INDEX('연료 자료'!$G$6:$I$11, MATCH(AD91,'연료 자료'!$B$6:$B$11, 0), MATCH(AC91,'연료 자료'!$G$5:$I$5, 0)))</f>
        <v>#N/A</v>
      </c>
      <c r="AF91" s="6" t="e">
        <f>VLOOKUP(AD91, 메모!$J$10:$L$19, 3, FALSE)</f>
        <v>#N/A</v>
      </c>
      <c r="AG91" s="50" t="e">
        <f t="shared" si="3"/>
        <v>#N/A</v>
      </c>
    </row>
    <row r="92" spans="1:33" ht="18.95" customHeight="1" x14ac:dyDescent="0.25">
      <c r="A92" s="6">
        <v>54</v>
      </c>
      <c r="B92" s="6" t="s">
        <v>48</v>
      </c>
      <c r="C92" s="6" t="s">
        <v>160</v>
      </c>
      <c r="D92" s="6" t="s">
        <v>185</v>
      </c>
      <c r="E92" s="6" t="s">
        <v>193</v>
      </c>
      <c r="F92" s="6" t="s">
        <v>196</v>
      </c>
      <c r="G92" s="6" t="s">
        <v>247</v>
      </c>
      <c r="H92" s="55"/>
      <c r="I92" s="55"/>
      <c r="J92" s="55"/>
      <c r="K92" s="44" t="s">
        <v>392</v>
      </c>
      <c r="L92" s="6" t="b">
        <v>0</v>
      </c>
      <c r="M92" s="6" t="b">
        <v>0</v>
      </c>
      <c r="N92" s="6" t="s">
        <v>358</v>
      </c>
      <c r="O92" s="23" t="s">
        <v>685</v>
      </c>
      <c r="P92" s="6"/>
      <c r="Q92" s="6"/>
      <c r="R92" s="6"/>
      <c r="S92" s="6"/>
      <c r="T92" s="6">
        <v>3</v>
      </c>
      <c r="U92" s="39" t="s">
        <v>405</v>
      </c>
      <c r="V92" s="53" t="s">
        <v>384</v>
      </c>
      <c r="W92" s="39"/>
      <c r="X92" s="6">
        <v>26</v>
      </c>
      <c r="Y92" s="6">
        <f t="shared" si="6"/>
        <v>52</v>
      </c>
      <c r="Z92" s="6"/>
      <c r="AA92" s="39" t="s">
        <v>461</v>
      </c>
      <c r="AB92" s="39" t="s">
        <v>502</v>
      </c>
      <c r="AC92" s="39" t="s">
        <v>502</v>
      </c>
      <c r="AD92" s="39" t="s">
        <v>502</v>
      </c>
      <c r="AE92" s="39" t="e">
        <f>IF(AB92="승용차", INDEX('연료 자료'!$C$6:$F$11, MATCH(AD92,'연료 자료'!$B$6:$B$11, 0), MATCH(AC92,'연료 자료'!$C$5:$F$5, 0)), INDEX('연료 자료'!$G$6:$I$11, MATCH(AD92,'연료 자료'!$B$6:$B$11, 0), MATCH(AC92,'연료 자료'!$G$5:$I$5, 0)))</f>
        <v>#N/A</v>
      </c>
      <c r="AF92" s="6" t="e">
        <f>VLOOKUP(AD92, 메모!$J$10:$L$19, 3, FALSE)</f>
        <v>#N/A</v>
      </c>
      <c r="AG92" s="50" t="e">
        <f t="shared" si="3"/>
        <v>#N/A</v>
      </c>
    </row>
    <row r="93" spans="1:33" ht="18.95" customHeight="1" x14ac:dyDescent="0.25">
      <c r="A93" s="6">
        <v>55</v>
      </c>
      <c r="B93" s="6" t="s">
        <v>49</v>
      </c>
      <c r="C93" s="6" t="s">
        <v>160</v>
      </c>
      <c r="D93" s="6" t="s">
        <v>185</v>
      </c>
      <c r="E93" s="6" t="s">
        <v>193</v>
      </c>
      <c r="F93" s="6" t="s">
        <v>196</v>
      </c>
      <c r="G93" s="6" t="s">
        <v>248</v>
      </c>
      <c r="H93" s="55"/>
      <c r="I93" s="55"/>
      <c r="J93" s="55"/>
      <c r="K93" s="44" t="s">
        <v>392</v>
      </c>
      <c r="L93" s="6" t="b">
        <v>0</v>
      </c>
      <c r="M93" s="6" t="b">
        <v>0</v>
      </c>
      <c r="N93" s="6" t="s">
        <v>358</v>
      </c>
      <c r="O93" s="23" t="s">
        <v>685</v>
      </c>
      <c r="P93" s="6"/>
      <c r="Q93" s="6"/>
      <c r="R93" s="6"/>
      <c r="S93" s="6"/>
      <c r="T93" s="6">
        <v>3</v>
      </c>
      <c r="U93" s="39" t="s">
        <v>405</v>
      </c>
      <c r="V93" s="53" t="s">
        <v>384</v>
      </c>
      <c r="W93" s="39"/>
      <c r="X93" s="6">
        <v>26</v>
      </c>
      <c r="Y93" s="6">
        <f t="shared" si="6"/>
        <v>52</v>
      </c>
      <c r="Z93" s="6"/>
      <c r="AA93" s="39" t="s">
        <v>461</v>
      </c>
      <c r="AB93" s="39" t="s">
        <v>502</v>
      </c>
      <c r="AC93" s="39" t="s">
        <v>502</v>
      </c>
      <c r="AD93" s="39" t="s">
        <v>502</v>
      </c>
      <c r="AE93" s="39" t="e">
        <f>IF(AB93="승용차", INDEX('연료 자료'!$C$6:$F$11, MATCH(AD93,'연료 자료'!$B$6:$B$11, 0), MATCH(AC93,'연료 자료'!$C$5:$F$5, 0)), INDEX('연료 자료'!$G$6:$I$11, MATCH(AD93,'연료 자료'!$B$6:$B$11, 0), MATCH(AC93,'연료 자료'!$G$5:$I$5, 0)))</f>
        <v>#N/A</v>
      </c>
      <c r="AF93" s="6" t="e">
        <f>VLOOKUP(AD93, 메모!$J$10:$L$19, 3, FALSE)</f>
        <v>#N/A</v>
      </c>
      <c r="AG93" s="50" t="e">
        <f t="shared" si="3"/>
        <v>#N/A</v>
      </c>
    </row>
    <row r="94" spans="1:33" ht="18.95" customHeight="1" x14ac:dyDescent="0.25">
      <c r="A94" s="6">
        <v>73</v>
      </c>
      <c r="B94" s="6" t="s">
        <v>63</v>
      </c>
      <c r="C94" s="6" t="s">
        <v>160</v>
      </c>
      <c r="D94" s="6" t="s">
        <v>185</v>
      </c>
      <c r="E94" s="6" t="s">
        <v>193</v>
      </c>
      <c r="F94" s="6" t="s">
        <v>196</v>
      </c>
      <c r="G94" s="6" t="s">
        <v>262</v>
      </c>
      <c r="H94" s="55"/>
      <c r="I94" s="55"/>
      <c r="J94" s="55"/>
      <c r="K94" s="39" t="s">
        <v>391</v>
      </c>
      <c r="L94" s="6" t="b">
        <v>0</v>
      </c>
      <c r="M94" s="6" t="b">
        <v>0</v>
      </c>
      <c r="N94" s="6" t="s">
        <v>358</v>
      </c>
      <c r="O94" s="23" t="s">
        <v>685</v>
      </c>
      <c r="P94" s="6"/>
      <c r="Q94" s="6"/>
      <c r="R94" s="6"/>
      <c r="S94" s="6"/>
      <c r="T94" s="6">
        <v>3</v>
      </c>
      <c r="U94" s="39" t="s">
        <v>405</v>
      </c>
      <c r="V94" s="53" t="s">
        <v>378</v>
      </c>
      <c r="W94" s="47"/>
      <c r="X94" s="6">
        <v>1.7</v>
      </c>
      <c r="Y94" s="6">
        <f t="shared" si="6"/>
        <v>3.4</v>
      </c>
      <c r="Z94" s="6"/>
      <c r="AA94" s="39" t="s">
        <v>455</v>
      </c>
      <c r="AB94" s="39" t="s">
        <v>605</v>
      </c>
      <c r="AC94" s="39" t="s">
        <v>603</v>
      </c>
      <c r="AD94" s="39" t="s">
        <v>499</v>
      </c>
      <c r="AE94" s="39">
        <f>IF(AB94="승용차", INDEX('연료 자료'!$C$6:$F$11, MATCH(AD94,'연료 자료'!$B$6:$B$11, 0), MATCH(AC94,'연료 자료'!$C$5:$F$5, 0)), INDEX('연료 자료'!$G$6:$I$11, MATCH(AD94,'연료 자료'!$B$6:$B$11, 0), MATCH(AC94,'연료 자료'!$G$5:$I$5, 0)))</f>
        <v>9</v>
      </c>
      <c r="AF94" s="6">
        <f>VLOOKUP(AD94, 메모!$J$10:$L$19, 3, FALSE)</f>
        <v>2.6139999999999999</v>
      </c>
      <c r="AG94" s="50">
        <f t="shared" si="3"/>
        <v>0.4937555555555555</v>
      </c>
    </row>
    <row r="95" spans="1:33" ht="18.95" customHeight="1" x14ac:dyDescent="0.25">
      <c r="A95" s="6">
        <v>74</v>
      </c>
      <c r="B95" s="6" t="s">
        <v>64</v>
      </c>
      <c r="C95" s="6" t="s">
        <v>160</v>
      </c>
      <c r="D95" s="6" t="s">
        <v>185</v>
      </c>
      <c r="E95" s="6" t="s">
        <v>193</v>
      </c>
      <c r="F95" s="6" t="s">
        <v>196</v>
      </c>
      <c r="G95" s="6" t="s">
        <v>263</v>
      </c>
      <c r="H95" s="55"/>
      <c r="I95" s="55"/>
      <c r="J95" s="55"/>
      <c r="K95" s="39" t="s">
        <v>391</v>
      </c>
      <c r="L95" s="6" t="b">
        <v>0</v>
      </c>
      <c r="M95" s="6" t="b">
        <v>0</v>
      </c>
      <c r="N95" s="6" t="s">
        <v>358</v>
      </c>
      <c r="O95" s="23" t="s">
        <v>685</v>
      </c>
      <c r="P95" s="6"/>
      <c r="Q95" s="6"/>
      <c r="R95" s="6"/>
      <c r="S95" s="6"/>
      <c r="T95" s="6">
        <v>3</v>
      </c>
      <c r="U95" s="39" t="s">
        <v>405</v>
      </c>
      <c r="V95" s="53" t="s">
        <v>378</v>
      </c>
      <c r="W95" s="47"/>
      <c r="X95" s="6">
        <v>1.7</v>
      </c>
      <c r="Y95" s="6">
        <f t="shared" si="6"/>
        <v>3.4</v>
      </c>
      <c r="Z95" s="6"/>
      <c r="AA95" s="39" t="s">
        <v>467</v>
      </c>
      <c r="AB95" s="39" t="s">
        <v>605</v>
      </c>
      <c r="AC95" s="39" t="s">
        <v>726</v>
      </c>
      <c r="AD95" s="39" t="s">
        <v>499</v>
      </c>
      <c r="AE95" s="39">
        <f>IF(AB95="승용차", INDEX('연료 자료'!$C$6:$F$11, MATCH(AD95,'연료 자료'!$B$6:$B$11, 0), MATCH(AC95,'연료 자료'!$C$5:$F$5, 0)), INDEX('연료 자료'!$G$6:$I$11, MATCH(AD95,'연료 자료'!$B$6:$B$11, 0), MATCH(AC95,'연료 자료'!$G$5:$I$5, 0)))</f>
        <v>5</v>
      </c>
      <c r="AF95" s="6">
        <f>VLOOKUP(AD95, 메모!$J$10:$L$19, 3, FALSE)</f>
        <v>2.6139999999999999</v>
      </c>
      <c r="AG95" s="50">
        <f t="shared" si="3"/>
        <v>0.88875999999999988</v>
      </c>
    </row>
    <row r="96" spans="1:33" ht="18.95" customHeight="1" x14ac:dyDescent="0.25">
      <c r="A96" s="6">
        <v>75</v>
      </c>
      <c r="B96" s="6" t="s">
        <v>65</v>
      </c>
      <c r="C96" s="6" t="s">
        <v>160</v>
      </c>
      <c r="D96" s="6" t="s">
        <v>185</v>
      </c>
      <c r="E96" s="6" t="s">
        <v>193</v>
      </c>
      <c r="F96" s="6" t="s">
        <v>196</v>
      </c>
      <c r="G96" s="6" t="s">
        <v>264</v>
      </c>
      <c r="H96" s="55"/>
      <c r="I96" s="55"/>
      <c r="J96" s="55"/>
      <c r="K96" s="39" t="s">
        <v>391</v>
      </c>
      <c r="L96" s="6" t="b">
        <v>0</v>
      </c>
      <c r="M96" s="6" t="b">
        <v>0</v>
      </c>
      <c r="N96" s="6" t="s">
        <v>358</v>
      </c>
      <c r="O96" s="23" t="s">
        <v>685</v>
      </c>
      <c r="P96" s="6"/>
      <c r="Q96" s="6"/>
      <c r="R96" s="6"/>
      <c r="S96" s="6"/>
      <c r="T96" s="6">
        <v>3</v>
      </c>
      <c r="U96" s="39" t="s">
        <v>405</v>
      </c>
      <c r="V96" s="53" t="s">
        <v>378</v>
      </c>
      <c r="W96" s="47"/>
      <c r="X96" s="6">
        <v>1.7</v>
      </c>
      <c r="Y96" s="6">
        <f t="shared" si="6"/>
        <v>3.4</v>
      </c>
      <c r="Z96" s="6"/>
      <c r="AA96" s="39" t="s">
        <v>470</v>
      </c>
      <c r="AB96" s="39" t="s">
        <v>605</v>
      </c>
      <c r="AC96" s="39" t="s">
        <v>610</v>
      </c>
      <c r="AD96" s="39" t="s">
        <v>499</v>
      </c>
      <c r="AE96" s="39">
        <f>IF(AB96="승용차", INDEX('연료 자료'!$C$6:$F$11, MATCH(AD96,'연료 자료'!$B$6:$B$11, 0), MATCH(AC96,'연료 자료'!$C$5:$F$5, 0)), INDEX('연료 자료'!$G$6:$I$11, MATCH(AD96,'연료 자료'!$B$6:$B$11, 0), MATCH(AC96,'연료 자료'!$G$5:$I$5, 0)))</f>
        <v>3</v>
      </c>
      <c r="AF96" s="6">
        <f>VLOOKUP(AD96, 메모!$J$10:$L$19, 3, FALSE)</f>
        <v>2.6139999999999999</v>
      </c>
      <c r="AG96" s="50">
        <f t="shared" si="3"/>
        <v>1.4812666666666665</v>
      </c>
    </row>
    <row r="97" spans="1:33" ht="18.95" customHeight="1" x14ac:dyDescent="0.25">
      <c r="A97" s="6">
        <v>120</v>
      </c>
      <c r="B97" s="6" t="s">
        <v>98</v>
      </c>
      <c r="C97" s="6" t="s">
        <v>160</v>
      </c>
      <c r="D97" s="6" t="s">
        <v>185</v>
      </c>
      <c r="E97" s="6" t="s">
        <v>193</v>
      </c>
      <c r="F97" s="6" t="s">
        <v>196</v>
      </c>
      <c r="G97" s="6" t="s">
        <v>297</v>
      </c>
      <c r="H97" s="55"/>
      <c r="I97" s="55"/>
      <c r="J97" s="55"/>
      <c r="K97" s="39" t="s">
        <v>391</v>
      </c>
      <c r="L97" s="6" t="b">
        <v>0</v>
      </c>
      <c r="M97" s="6" t="b">
        <v>0</v>
      </c>
      <c r="N97" s="6" t="s">
        <v>358</v>
      </c>
      <c r="O97" s="39" t="s">
        <v>685</v>
      </c>
      <c r="P97" s="39"/>
      <c r="Q97" s="39"/>
      <c r="R97" s="39"/>
      <c r="S97" s="6"/>
      <c r="T97" s="6">
        <v>3</v>
      </c>
      <c r="U97" s="39" t="s">
        <v>405</v>
      </c>
      <c r="V97" s="53" t="s">
        <v>419</v>
      </c>
      <c r="W97" s="23"/>
      <c r="X97" s="6">
        <v>1.7</v>
      </c>
      <c r="Y97" s="6">
        <f t="shared" si="6"/>
        <v>3.4</v>
      </c>
      <c r="Z97" s="6"/>
      <c r="AA97" s="39" t="s">
        <v>727</v>
      </c>
      <c r="AB97" s="39" t="s">
        <v>605</v>
      </c>
      <c r="AC97" s="39" t="s">
        <v>603</v>
      </c>
      <c r="AD97" s="39" t="s">
        <v>499</v>
      </c>
      <c r="AE97" s="39">
        <f>IF(AB97="승용차", INDEX('연료 자료'!$C$6:$F$11, MATCH(AD97,'연료 자료'!$B$6:$B$11, 0), MATCH(AC97,'연료 자료'!$C$5:$F$5, 0)), INDEX('연료 자료'!$G$6:$I$11, MATCH(AD97,'연료 자료'!$B$6:$B$11, 0), MATCH(AC97,'연료 자료'!$G$5:$I$5, 0)))</f>
        <v>9</v>
      </c>
      <c r="AF97" s="6">
        <f>VLOOKUP(AD97, 메모!$J$10:$L$19, 3, FALSE)</f>
        <v>2.6139999999999999</v>
      </c>
      <c r="AG97" s="50">
        <f t="shared" si="3"/>
        <v>0.4937555555555555</v>
      </c>
    </row>
    <row r="98" spans="1:33" ht="18.95" customHeight="1" x14ac:dyDescent="0.25">
      <c r="A98" s="6">
        <v>195</v>
      </c>
      <c r="B98" s="6" t="s">
        <v>130</v>
      </c>
      <c r="C98" s="6" t="s">
        <v>171</v>
      </c>
      <c r="D98" s="6" t="s">
        <v>185</v>
      </c>
      <c r="E98" s="6" t="s">
        <v>193</v>
      </c>
      <c r="F98" s="6" t="s">
        <v>196</v>
      </c>
      <c r="G98" s="6" t="s">
        <v>328</v>
      </c>
      <c r="H98" s="55"/>
      <c r="I98" s="55"/>
      <c r="J98" s="55"/>
      <c r="K98" s="39" t="s">
        <v>395</v>
      </c>
      <c r="L98" s="6" t="b">
        <v>0</v>
      </c>
      <c r="M98" s="6" t="b">
        <v>0</v>
      </c>
      <c r="N98" s="6" t="s">
        <v>358</v>
      </c>
      <c r="O98" s="39" t="s">
        <v>655</v>
      </c>
      <c r="P98" s="39"/>
      <c r="Q98" s="39"/>
      <c r="R98" s="39"/>
      <c r="S98" s="6"/>
      <c r="T98" s="6">
        <v>3</v>
      </c>
      <c r="U98" s="39"/>
      <c r="V98" s="53" t="s">
        <v>428</v>
      </c>
      <c r="W98" s="23"/>
      <c r="X98" s="6">
        <v>47</v>
      </c>
      <c r="Y98" s="6">
        <f t="shared" si="6"/>
        <v>94</v>
      </c>
      <c r="Z98" s="6"/>
      <c r="AA98" s="39" t="s">
        <v>472</v>
      </c>
      <c r="AB98" s="39" t="s">
        <v>605</v>
      </c>
      <c r="AC98" s="39" t="s">
        <v>726</v>
      </c>
      <c r="AD98" s="39" t="s">
        <v>499</v>
      </c>
      <c r="AE98" s="39">
        <f>IF(AB98="승용차", INDEX('연료 자료'!$C$6:$F$11, MATCH(AD98,'연료 자료'!$B$6:$B$11, 0), MATCH(AC98,'연료 자료'!$C$5:$F$5, 0)), INDEX('연료 자료'!$G$6:$I$11, MATCH(AD98,'연료 자료'!$B$6:$B$11, 0), MATCH(AC98,'연료 자료'!$G$5:$I$5, 0)))</f>
        <v>5</v>
      </c>
      <c r="AF98" s="6">
        <f>VLOOKUP(AD98, 메모!$J$10:$L$19, 3, FALSE)</f>
        <v>2.6139999999999999</v>
      </c>
      <c r="AG98" s="50">
        <f t="shared" si="3"/>
        <v>24.5716</v>
      </c>
    </row>
    <row r="99" spans="1:33" ht="18.95" customHeight="1" x14ac:dyDescent="0.25">
      <c r="A99" s="6">
        <v>72</v>
      </c>
      <c r="B99" s="6" t="s">
        <v>62</v>
      </c>
      <c r="C99" s="6" t="s">
        <v>160</v>
      </c>
      <c r="D99" s="6" t="s">
        <v>185</v>
      </c>
      <c r="E99" s="6" t="s">
        <v>193</v>
      </c>
      <c r="F99" s="6" t="s">
        <v>196</v>
      </c>
      <c r="G99" s="6" t="s">
        <v>261</v>
      </c>
      <c r="H99" s="55"/>
      <c r="I99" s="55"/>
      <c r="J99" s="55"/>
      <c r="K99" s="6" t="s">
        <v>261</v>
      </c>
      <c r="L99" s="6" t="b">
        <v>0</v>
      </c>
      <c r="M99" s="6" t="b">
        <v>0</v>
      </c>
      <c r="N99" s="6" t="s">
        <v>358</v>
      </c>
      <c r="O99" s="23" t="s">
        <v>655</v>
      </c>
      <c r="P99" s="7" t="s">
        <v>675</v>
      </c>
      <c r="Q99" s="6"/>
      <c r="R99" s="6"/>
      <c r="S99" s="6"/>
      <c r="T99" s="6">
        <v>3</v>
      </c>
      <c r="U99" s="39" t="s">
        <v>405</v>
      </c>
      <c r="V99" s="53" t="s">
        <v>377</v>
      </c>
      <c r="W99" s="47"/>
      <c r="X99" s="6">
        <v>47</v>
      </c>
      <c r="Y99" s="6">
        <f>X99*2</f>
        <v>94</v>
      </c>
      <c r="Z99" s="6"/>
      <c r="AA99" s="39" t="s">
        <v>469</v>
      </c>
      <c r="AB99" s="39" t="s">
        <v>605</v>
      </c>
      <c r="AC99" s="39" t="s">
        <v>610</v>
      </c>
      <c r="AD99" s="39" t="s">
        <v>499</v>
      </c>
      <c r="AE99" s="39">
        <f>IF(AB99="승용차", INDEX('연료 자료'!$C$6:$F$11, MATCH(AD99,'연료 자료'!$B$6:$B$11, 0), MATCH(AC99,'연료 자료'!$C$5:$F$5, 0)), INDEX('연료 자료'!$G$6:$I$11, MATCH(AD99,'연료 자료'!$B$6:$B$11, 0), MATCH(AC99,'연료 자료'!$G$5:$I$5, 0)))</f>
        <v>3</v>
      </c>
      <c r="AF99" s="6">
        <f>VLOOKUP(AD99, 메모!$J$10:$L$19, 3, FALSE)</f>
        <v>2.6139999999999999</v>
      </c>
      <c r="AG99" s="50">
        <f t="shared" si="3"/>
        <v>40.952666666666666</v>
      </c>
    </row>
    <row r="100" spans="1:33" ht="18.95" customHeight="1" x14ac:dyDescent="0.25">
      <c r="A100" s="6">
        <v>41</v>
      </c>
      <c r="B100" s="6" t="s">
        <v>36</v>
      </c>
      <c r="C100" s="6" t="s">
        <v>160</v>
      </c>
      <c r="D100" s="6" t="s">
        <v>185</v>
      </c>
      <c r="E100" s="6" t="s">
        <v>193</v>
      </c>
      <c r="F100" s="6" t="s">
        <v>196</v>
      </c>
      <c r="G100" s="6" t="s">
        <v>235</v>
      </c>
      <c r="H100" s="55"/>
      <c r="I100" s="55"/>
      <c r="J100" s="55"/>
      <c r="K100" s="43" t="s">
        <v>380</v>
      </c>
      <c r="L100" s="6" t="b">
        <v>0</v>
      </c>
      <c r="M100" s="6" t="b">
        <v>0</v>
      </c>
      <c r="N100" s="6" t="s">
        <v>358</v>
      </c>
      <c r="O100" s="43" t="s">
        <v>655</v>
      </c>
      <c r="P100" s="43" t="s">
        <v>662</v>
      </c>
      <c r="Q100" s="43"/>
      <c r="R100" s="43"/>
      <c r="S100" s="6"/>
      <c r="T100" s="6">
        <v>3</v>
      </c>
      <c r="U100" s="39" t="s">
        <v>405</v>
      </c>
      <c r="V100" s="53" t="s">
        <v>504</v>
      </c>
      <c r="W100" s="23"/>
      <c r="X100" s="6">
        <v>7.3</v>
      </c>
      <c r="Y100" s="6">
        <f t="shared" si="4"/>
        <v>14.6</v>
      </c>
      <c r="Z100" s="6"/>
      <c r="AA100" s="39" t="s">
        <v>453</v>
      </c>
      <c r="AB100" s="39" t="s">
        <v>605</v>
      </c>
      <c r="AC100" s="39" t="s">
        <v>603</v>
      </c>
      <c r="AD100" s="39" t="s">
        <v>499</v>
      </c>
      <c r="AE100" s="39">
        <f>IF(AB100="승용차", INDEX('연료 자료'!$C$6:$F$11, MATCH(AD100,'연료 자료'!$B$6:$B$11, 0), MATCH(AC100,'연료 자료'!$C$5:$F$5, 0)), INDEX('연료 자료'!$G$6:$I$11, MATCH(AD100,'연료 자료'!$B$6:$B$11, 0), MATCH(AC100,'연료 자료'!$G$5:$I$5, 0)))</f>
        <v>9</v>
      </c>
      <c r="AF100" s="6">
        <f>VLOOKUP(AD100, 메모!$J$10:$L$19, 3, FALSE)</f>
        <v>2.6139999999999999</v>
      </c>
      <c r="AG100" s="50">
        <f t="shared" si="3"/>
        <v>2.1202444444444444</v>
      </c>
    </row>
    <row r="101" spans="1:33" ht="18.95" customHeight="1" x14ac:dyDescent="0.25">
      <c r="A101" s="6">
        <v>43</v>
      </c>
      <c r="B101" s="6" t="s">
        <v>38</v>
      </c>
      <c r="C101" s="6" t="s">
        <v>160</v>
      </c>
      <c r="D101" s="6" t="s">
        <v>185</v>
      </c>
      <c r="E101" s="6" t="s">
        <v>193</v>
      </c>
      <c r="F101" s="6" t="s">
        <v>196</v>
      </c>
      <c r="G101" s="6" t="s">
        <v>237</v>
      </c>
      <c r="H101" s="55"/>
      <c r="I101" s="55"/>
      <c r="J101" s="55"/>
      <c r="K101" s="6" t="s">
        <v>237</v>
      </c>
      <c r="L101" s="6" t="b">
        <v>0</v>
      </c>
      <c r="M101" s="6" t="b">
        <v>0</v>
      </c>
      <c r="N101" s="6" t="s">
        <v>358</v>
      </c>
      <c r="O101" s="23" t="s">
        <v>660</v>
      </c>
      <c r="P101" s="7" t="s">
        <v>665</v>
      </c>
      <c r="Q101" s="6"/>
      <c r="R101" s="6"/>
      <c r="S101" s="6"/>
      <c r="T101" s="6">
        <v>3</v>
      </c>
      <c r="U101" s="39" t="s">
        <v>405</v>
      </c>
      <c r="V101" s="53" t="s">
        <v>506</v>
      </c>
      <c r="W101" s="23"/>
      <c r="X101" s="6">
        <v>333</v>
      </c>
      <c r="Y101" s="6">
        <f t="shared" si="4"/>
        <v>666</v>
      </c>
      <c r="Z101" s="6"/>
      <c r="AA101" s="39" t="s">
        <v>454</v>
      </c>
      <c r="AB101" s="39" t="s">
        <v>604</v>
      </c>
      <c r="AC101" s="39" t="s">
        <v>602</v>
      </c>
      <c r="AD101" s="39" t="s">
        <v>499</v>
      </c>
      <c r="AE101" s="39">
        <f>IF(AB101="승용차", INDEX('연료 자료'!$C$6:$F$11, MATCH(AD101,'연료 자료'!$B$6:$B$11, 0), MATCH(AC101,'연료 자료'!$C$5:$F$5, 0)), INDEX('연료 자료'!$G$6:$I$11, MATCH(AD101,'연료 자료'!$B$6:$B$11, 0), MATCH(AC101,'연료 자료'!$G$5:$I$5, 0)))</f>
        <v>10</v>
      </c>
      <c r="AF101" s="6">
        <f>VLOOKUP(AD101, 메모!$J$10:$L$19, 3, FALSE)</f>
        <v>2.6139999999999999</v>
      </c>
      <c r="AG101" s="50">
        <f t="shared" si="3"/>
        <v>87.046199999999985</v>
      </c>
    </row>
    <row r="102" spans="1:33" ht="18.95" customHeight="1" x14ac:dyDescent="0.25">
      <c r="A102" s="6">
        <v>49</v>
      </c>
      <c r="B102" s="6" t="s">
        <v>43</v>
      </c>
      <c r="C102" s="6" t="s">
        <v>160</v>
      </c>
      <c r="D102" s="6" t="s">
        <v>185</v>
      </c>
      <c r="E102" s="6" t="s">
        <v>193</v>
      </c>
      <c r="F102" s="6" t="s">
        <v>196</v>
      </c>
      <c r="G102" s="6" t="s">
        <v>242</v>
      </c>
      <c r="H102" s="55"/>
      <c r="I102" s="55"/>
      <c r="J102" s="55"/>
      <c r="K102" s="6" t="s">
        <v>242</v>
      </c>
      <c r="L102" s="6" t="b">
        <v>0</v>
      </c>
      <c r="M102" s="6" t="b">
        <v>0</v>
      </c>
      <c r="N102" s="6" t="s">
        <v>358</v>
      </c>
      <c r="O102" s="39" t="s">
        <v>660</v>
      </c>
      <c r="P102" s="6"/>
      <c r="Q102" s="6"/>
      <c r="R102" s="6"/>
      <c r="S102" s="6"/>
      <c r="T102" s="6">
        <v>3</v>
      </c>
      <c r="U102" s="39" t="s">
        <v>405</v>
      </c>
      <c r="V102" s="53" t="s">
        <v>366</v>
      </c>
      <c r="W102" s="23"/>
      <c r="X102" s="6">
        <v>7.4</v>
      </c>
      <c r="Y102" s="6">
        <f t="shared" si="4"/>
        <v>14.8</v>
      </c>
      <c r="Z102" s="6"/>
      <c r="AA102" s="39" t="s">
        <v>455</v>
      </c>
      <c r="AB102" s="39" t="s">
        <v>605</v>
      </c>
      <c r="AC102" s="39" t="s">
        <v>603</v>
      </c>
      <c r="AD102" s="39" t="s">
        <v>499</v>
      </c>
      <c r="AE102" s="39">
        <f>IF(AB102="승용차", INDEX('연료 자료'!$C$6:$F$11, MATCH(AD102,'연료 자료'!$B$6:$B$11, 0), MATCH(AC102,'연료 자료'!$C$5:$F$5, 0)), INDEX('연료 자료'!$G$6:$I$11, MATCH(AD102,'연료 자료'!$B$6:$B$11, 0), MATCH(AC102,'연료 자료'!$G$5:$I$5, 0)))</f>
        <v>9</v>
      </c>
      <c r="AF102" s="6">
        <f>VLOOKUP(AD102, 메모!$J$10:$L$19, 3, FALSE)</f>
        <v>2.6139999999999999</v>
      </c>
      <c r="AG102" s="50">
        <f t="shared" si="3"/>
        <v>2.149288888888889</v>
      </c>
    </row>
    <row r="103" spans="1:33" ht="18.95" customHeight="1" x14ac:dyDescent="0.25">
      <c r="A103" s="6">
        <v>82</v>
      </c>
      <c r="B103" s="6" t="s">
        <v>71</v>
      </c>
      <c r="C103" s="6" t="s">
        <v>160</v>
      </c>
      <c r="D103" s="6" t="s">
        <v>185</v>
      </c>
      <c r="E103" s="6" t="s">
        <v>193</v>
      </c>
      <c r="F103" s="6" t="s">
        <v>196</v>
      </c>
      <c r="G103" s="6" t="s">
        <v>270</v>
      </c>
      <c r="H103" s="55"/>
      <c r="I103" s="55"/>
      <c r="J103" s="55"/>
      <c r="K103" s="6" t="s">
        <v>270</v>
      </c>
      <c r="L103" s="6" t="b">
        <v>0</v>
      </c>
      <c r="M103" s="6" t="b">
        <v>0</v>
      </c>
      <c r="N103" s="6" t="s">
        <v>358</v>
      </c>
      <c r="O103" s="23" t="s">
        <v>660</v>
      </c>
      <c r="P103" s="6"/>
      <c r="Q103" s="6"/>
      <c r="R103" s="6"/>
      <c r="S103" s="6"/>
      <c r="T103" s="6">
        <v>3</v>
      </c>
      <c r="U103" s="39" t="s">
        <v>405</v>
      </c>
      <c r="V103" s="53" t="s">
        <v>751</v>
      </c>
      <c r="W103" s="6"/>
      <c r="X103" s="6">
        <v>3.7</v>
      </c>
      <c r="Y103" s="6">
        <f t="shared" si="4"/>
        <v>7.4</v>
      </c>
      <c r="Z103" s="6"/>
      <c r="AA103" s="39" t="s">
        <v>455</v>
      </c>
      <c r="AB103" s="39" t="s">
        <v>605</v>
      </c>
      <c r="AC103" s="39" t="s">
        <v>603</v>
      </c>
      <c r="AD103" s="39" t="s">
        <v>499</v>
      </c>
      <c r="AE103" s="6">
        <f>IF(AB103="승용차", INDEX('연료 자료'!$C$6:$F$11, MATCH(AD103,'연료 자료'!$B$6:$B$11, 0), MATCH(AC103,'연료 자료'!$C$5:$F$5, 0)), INDEX('연료 자료'!$G$6:$I$11, MATCH(AD103,'연료 자료'!$B$6:$B$11, 0), MATCH(AC103,'연료 자료'!$G$5:$I$5, 0)))</f>
        <v>9</v>
      </c>
      <c r="AF103" s="6">
        <f>VLOOKUP(AD103, 메모!$J$10:$L$19, 3, FALSE)</f>
        <v>2.6139999999999999</v>
      </c>
      <c r="AG103" s="50">
        <f t="shared" si="3"/>
        <v>1.0746444444444445</v>
      </c>
    </row>
    <row r="104" spans="1:33" ht="18.95" customHeight="1" x14ac:dyDescent="0.25">
      <c r="A104" s="6">
        <v>86</v>
      </c>
      <c r="B104" s="6" t="s">
        <v>74</v>
      </c>
      <c r="C104" s="6" t="s">
        <v>160</v>
      </c>
      <c r="D104" s="6" t="s">
        <v>185</v>
      </c>
      <c r="E104" s="6" t="s">
        <v>193</v>
      </c>
      <c r="F104" s="6" t="s">
        <v>196</v>
      </c>
      <c r="G104" s="6" t="s">
        <v>273</v>
      </c>
      <c r="H104" s="55"/>
      <c r="I104" s="55"/>
      <c r="J104" s="55"/>
      <c r="K104" s="6" t="s">
        <v>273</v>
      </c>
      <c r="L104" s="6" t="b">
        <v>0</v>
      </c>
      <c r="M104" s="6" t="b">
        <v>0</v>
      </c>
      <c r="N104" s="6" t="s">
        <v>358</v>
      </c>
      <c r="O104" s="39" t="s">
        <v>660</v>
      </c>
      <c r="P104" s="6"/>
      <c r="Q104" s="6"/>
      <c r="R104" s="6"/>
      <c r="S104" s="6"/>
      <c r="T104" s="6">
        <v>3</v>
      </c>
      <c r="U104" s="39" t="s">
        <v>405</v>
      </c>
      <c r="V104" s="53" t="s">
        <v>734</v>
      </c>
      <c r="W104" s="6"/>
      <c r="X104" s="6">
        <v>51</v>
      </c>
      <c r="Y104" s="6">
        <f t="shared" si="4"/>
        <v>102</v>
      </c>
      <c r="Z104" s="6"/>
      <c r="AA104" s="47" t="s">
        <v>709</v>
      </c>
      <c r="AB104" s="39" t="s">
        <v>605</v>
      </c>
      <c r="AC104" s="39" t="s">
        <v>726</v>
      </c>
      <c r="AD104" s="39" t="s">
        <v>499</v>
      </c>
      <c r="AE104" s="6">
        <f>IF(AB104="승용차", INDEX('연료 자료'!$C$6:$F$11, MATCH(AD104,'연료 자료'!$B$6:$B$11, 0), MATCH(AC104,'연료 자료'!$C$5:$F$5, 0)), INDEX('연료 자료'!$G$6:$I$11, MATCH(AD104,'연료 자료'!$B$6:$B$11, 0), MATCH(AC104,'연료 자료'!$G$5:$I$5, 0)))</f>
        <v>5</v>
      </c>
      <c r="AF104" s="6">
        <f>VLOOKUP(AD104, 메모!$J$10:$L$19, 3, FALSE)</f>
        <v>2.6139999999999999</v>
      </c>
      <c r="AG104" s="50">
        <f t="shared" si="3"/>
        <v>26.662799999999997</v>
      </c>
    </row>
    <row r="105" spans="1:33" ht="18.95" customHeight="1" x14ac:dyDescent="0.25">
      <c r="A105" s="6">
        <v>94</v>
      </c>
      <c r="B105" s="6" t="s">
        <v>81</v>
      </c>
      <c r="C105" s="6" t="s">
        <v>160</v>
      </c>
      <c r="D105" s="6" t="s">
        <v>185</v>
      </c>
      <c r="E105" s="6" t="s">
        <v>193</v>
      </c>
      <c r="F105" s="6" t="s">
        <v>196</v>
      </c>
      <c r="G105" s="6" t="s">
        <v>280</v>
      </c>
      <c r="H105" s="55"/>
      <c r="I105" s="55"/>
      <c r="J105" s="55"/>
      <c r="K105" s="6" t="s">
        <v>280</v>
      </c>
      <c r="L105" s="6" t="b">
        <v>0</v>
      </c>
      <c r="M105" s="6" t="b">
        <v>0</v>
      </c>
      <c r="N105" s="6" t="s">
        <v>358</v>
      </c>
      <c r="O105" s="39" t="s">
        <v>660</v>
      </c>
      <c r="P105" s="6"/>
      <c r="Q105" s="6"/>
      <c r="R105" s="6"/>
      <c r="S105" s="6"/>
      <c r="T105" s="6">
        <v>3</v>
      </c>
      <c r="U105" s="39" t="s">
        <v>405</v>
      </c>
      <c r="V105" s="53" t="s">
        <v>413</v>
      </c>
      <c r="W105" s="23"/>
      <c r="X105" s="6">
        <v>53</v>
      </c>
      <c r="Y105" s="6">
        <f t="shared" si="4"/>
        <v>106</v>
      </c>
      <c r="Z105" s="6"/>
      <c r="AA105" s="39" t="s">
        <v>478</v>
      </c>
      <c r="AB105" s="39" t="s">
        <v>605</v>
      </c>
      <c r="AC105" s="39" t="s">
        <v>610</v>
      </c>
      <c r="AD105" s="39" t="s">
        <v>499</v>
      </c>
      <c r="AE105" s="39">
        <f>IF(AB105="승용차", INDEX('연료 자료'!$C$6:$F$11, MATCH(AD105,'연료 자료'!$B$6:$B$11, 0), MATCH(AC105,'연료 자료'!$C$5:$F$5, 0)), INDEX('연료 자료'!$G$6:$I$11, MATCH(AD105,'연료 자료'!$B$6:$B$11, 0), MATCH(AC105,'연료 자료'!$G$5:$I$5, 0)))</f>
        <v>3</v>
      </c>
      <c r="AF105" s="6">
        <f>VLOOKUP(AD105, 메모!$J$10:$L$19, 3, FALSE)</f>
        <v>2.6139999999999999</v>
      </c>
      <c r="AG105" s="50">
        <f t="shared" si="3"/>
        <v>46.180666666666667</v>
      </c>
    </row>
    <row r="106" spans="1:33" ht="18.95" customHeight="1" x14ac:dyDescent="0.25">
      <c r="A106" s="6">
        <v>70</v>
      </c>
      <c r="B106" s="6" t="s">
        <v>60</v>
      </c>
      <c r="C106" s="6" t="s">
        <v>160</v>
      </c>
      <c r="D106" s="6" t="s">
        <v>185</v>
      </c>
      <c r="E106" s="6" t="s">
        <v>193</v>
      </c>
      <c r="F106" s="6" t="s">
        <v>196</v>
      </c>
      <c r="G106" s="6" t="s">
        <v>259</v>
      </c>
      <c r="H106" s="55"/>
      <c r="I106" s="55"/>
      <c r="J106" s="55"/>
      <c r="K106" s="6" t="s">
        <v>259</v>
      </c>
      <c r="L106" s="6" t="b">
        <v>0</v>
      </c>
      <c r="M106" s="6" t="b">
        <v>0</v>
      </c>
      <c r="N106" s="6" t="s">
        <v>358</v>
      </c>
      <c r="O106" s="39" t="s">
        <v>660</v>
      </c>
      <c r="P106" s="6"/>
      <c r="Q106" s="6"/>
      <c r="R106" s="6"/>
      <c r="S106" s="6"/>
      <c r="T106" s="6">
        <v>3</v>
      </c>
      <c r="U106" s="39" t="s">
        <v>405</v>
      </c>
      <c r="V106" s="53" t="s">
        <v>375</v>
      </c>
      <c r="W106" s="47"/>
      <c r="X106" s="6">
        <v>17</v>
      </c>
      <c r="Y106" s="6">
        <f>X106*2</f>
        <v>34</v>
      </c>
      <c r="Z106" s="6"/>
      <c r="AA106" s="39" t="s">
        <v>468</v>
      </c>
      <c r="AB106" s="39" t="s">
        <v>605</v>
      </c>
      <c r="AC106" s="39" t="s">
        <v>603</v>
      </c>
      <c r="AD106" s="39" t="s">
        <v>695</v>
      </c>
      <c r="AE106" s="39">
        <f>IF(AB106="승용차", INDEX('연료 자료'!$C$6:$F$11, MATCH(AD106,'연료 자료'!$B$6:$B$11, 0), MATCH(AC106,'연료 자료'!$C$5:$F$5, 0)), INDEX('연료 자료'!$G$6:$I$11, MATCH(AD106,'연료 자료'!$B$6:$B$11, 0), MATCH(AC106,'연료 자료'!$G$5:$I$5, 0)))</f>
        <v>5</v>
      </c>
      <c r="AF106" s="6">
        <f>VLOOKUP(AD106, 메모!$J$10:$L$19, 3, FALSE)</f>
        <v>0.42499999999999999</v>
      </c>
      <c r="AG106" s="50">
        <f t="shared" si="3"/>
        <v>1.4449999999999998</v>
      </c>
    </row>
    <row r="107" spans="1:33" ht="18.95" customHeight="1" x14ac:dyDescent="0.25">
      <c r="A107" s="6">
        <v>79</v>
      </c>
      <c r="B107" s="6" t="s">
        <v>69</v>
      </c>
      <c r="C107" s="6" t="s">
        <v>160</v>
      </c>
      <c r="D107" s="6" t="s">
        <v>185</v>
      </c>
      <c r="E107" s="6" t="s">
        <v>193</v>
      </c>
      <c r="F107" s="6" t="s">
        <v>196</v>
      </c>
      <c r="G107" s="6" t="s">
        <v>268</v>
      </c>
      <c r="H107" s="55"/>
      <c r="I107" s="55"/>
      <c r="J107" s="55"/>
      <c r="K107" s="6" t="s">
        <v>268</v>
      </c>
      <c r="L107" s="6" t="b">
        <v>0</v>
      </c>
      <c r="M107" s="6" t="b">
        <v>0</v>
      </c>
      <c r="N107" s="6" t="s">
        <v>358</v>
      </c>
      <c r="O107" s="23" t="s">
        <v>660</v>
      </c>
      <c r="P107" s="6"/>
      <c r="Q107" s="6"/>
      <c r="R107" s="6"/>
      <c r="S107" s="6"/>
      <c r="T107" s="6">
        <v>3</v>
      </c>
      <c r="U107" s="39" t="s">
        <v>405</v>
      </c>
      <c r="V107" s="53" t="s">
        <v>511</v>
      </c>
      <c r="W107" s="23"/>
      <c r="X107" s="6">
        <v>3.7</v>
      </c>
      <c r="Y107" s="6">
        <f>X107*2</f>
        <v>7.4</v>
      </c>
      <c r="Z107" s="6"/>
      <c r="AA107" s="39" t="s">
        <v>727</v>
      </c>
      <c r="AB107" s="39" t="s">
        <v>605</v>
      </c>
      <c r="AC107" s="39" t="s">
        <v>603</v>
      </c>
      <c r="AD107" s="39" t="s">
        <v>499</v>
      </c>
      <c r="AE107" s="39">
        <f>IF(AB107="승용차", INDEX('연료 자료'!$C$6:$F$11, MATCH(AD107,'연료 자료'!$B$6:$B$11, 0), MATCH(AC107,'연료 자료'!$C$5:$F$5, 0)), INDEX('연료 자료'!$G$6:$I$11, MATCH(AD107,'연료 자료'!$B$6:$B$11, 0), MATCH(AC107,'연료 자료'!$G$5:$I$5, 0)))</f>
        <v>9</v>
      </c>
      <c r="AF107" s="6">
        <f>VLOOKUP(AD107, 메모!$J$10:$L$19, 3, FALSE)</f>
        <v>2.6139999999999999</v>
      </c>
      <c r="AG107" s="50">
        <f t="shared" si="3"/>
        <v>1.0746444444444445</v>
      </c>
    </row>
    <row r="108" spans="1:33" ht="18.95" customHeight="1" x14ac:dyDescent="0.25">
      <c r="A108" s="6">
        <v>100</v>
      </c>
      <c r="B108" s="6" t="s">
        <v>84</v>
      </c>
      <c r="C108" s="6" t="s">
        <v>160</v>
      </c>
      <c r="D108" s="6" t="s">
        <v>185</v>
      </c>
      <c r="E108" s="6" t="s">
        <v>193</v>
      </c>
      <c r="F108" s="6" t="s">
        <v>196</v>
      </c>
      <c r="G108" s="6" t="s">
        <v>283</v>
      </c>
      <c r="H108" s="55"/>
      <c r="I108" s="55"/>
      <c r="J108" s="55"/>
      <c r="K108" s="6" t="s">
        <v>283</v>
      </c>
      <c r="L108" s="6" t="b">
        <v>0</v>
      </c>
      <c r="M108" s="6" t="b">
        <v>0</v>
      </c>
      <c r="N108" s="6" t="s">
        <v>358</v>
      </c>
      <c r="O108" s="39" t="s">
        <v>660</v>
      </c>
      <c r="P108" s="6"/>
      <c r="Q108" s="6"/>
      <c r="R108" s="6"/>
      <c r="S108" s="6"/>
      <c r="T108" s="6">
        <v>3</v>
      </c>
      <c r="U108" s="39" t="s">
        <v>405</v>
      </c>
      <c r="V108" s="53" t="s">
        <v>415</v>
      </c>
      <c r="W108" s="23"/>
      <c r="X108" s="6">
        <v>6.4</v>
      </c>
      <c r="Y108" s="6">
        <f>X108*2</f>
        <v>12.8</v>
      </c>
      <c r="Z108" s="6"/>
      <c r="AA108" s="39" t="s">
        <v>455</v>
      </c>
      <c r="AB108" s="39" t="s">
        <v>605</v>
      </c>
      <c r="AC108" s="39" t="s">
        <v>603</v>
      </c>
      <c r="AD108" s="39" t="s">
        <v>499</v>
      </c>
      <c r="AE108" s="39">
        <f>IF(AB108="승용차", INDEX('연료 자료'!$C$6:$F$11, MATCH(AD108,'연료 자료'!$B$6:$B$11, 0), MATCH(AC108,'연료 자료'!$C$5:$F$5, 0)), INDEX('연료 자료'!$G$6:$I$11, MATCH(AD108,'연료 자료'!$B$6:$B$11, 0), MATCH(AC108,'연료 자료'!$G$5:$I$5, 0)))</f>
        <v>9</v>
      </c>
      <c r="AF108" s="6">
        <f>VLOOKUP(AD108, 메모!$J$10:$L$19, 3, FALSE)</f>
        <v>2.6139999999999999</v>
      </c>
      <c r="AG108" s="50">
        <f t="shared" si="3"/>
        <v>1.8588444444444445</v>
      </c>
    </row>
    <row r="109" spans="1:33" ht="18.95" customHeight="1" x14ac:dyDescent="0.25">
      <c r="A109" s="6">
        <v>110</v>
      </c>
      <c r="B109" s="6" t="s">
        <v>93</v>
      </c>
      <c r="C109" s="6" t="s">
        <v>161</v>
      </c>
      <c r="D109" s="6" t="s">
        <v>185</v>
      </c>
      <c r="E109" s="6" t="s">
        <v>193</v>
      </c>
      <c r="F109" s="6" t="s">
        <v>196</v>
      </c>
      <c r="G109" s="6" t="s">
        <v>292</v>
      </c>
      <c r="H109" s="55"/>
      <c r="I109" s="55"/>
      <c r="J109" s="55"/>
      <c r="K109" s="6"/>
      <c r="L109" s="6" t="b">
        <v>0</v>
      </c>
      <c r="M109" s="6" t="b">
        <v>0</v>
      </c>
      <c r="N109" s="6" t="s">
        <v>358</v>
      </c>
      <c r="O109" s="39" t="s">
        <v>660</v>
      </c>
      <c r="P109" s="6"/>
      <c r="Q109" s="6"/>
      <c r="R109" s="6"/>
      <c r="S109" s="6"/>
      <c r="T109" s="6">
        <v>3</v>
      </c>
      <c r="U109" s="39" t="s">
        <v>405</v>
      </c>
      <c r="V109" s="53" t="s">
        <v>417</v>
      </c>
      <c r="W109" s="23"/>
      <c r="X109" s="6">
        <v>3.7</v>
      </c>
      <c r="Y109" s="6">
        <f>X109*2</f>
        <v>7.4</v>
      </c>
      <c r="Z109" s="6"/>
      <c r="AA109" s="39" t="s">
        <v>455</v>
      </c>
      <c r="AB109" s="39" t="s">
        <v>605</v>
      </c>
      <c r="AC109" s="39" t="s">
        <v>603</v>
      </c>
      <c r="AD109" s="39" t="s">
        <v>499</v>
      </c>
      <c r="AE109" s="39">
        <f>IF(AB109="승용차", INDEX('연료 자료'!$C$6:$F$11, MATCH(AD109,'연료 자료'!$B$6:$B$11, 0), MATCH(AC109,'연료 자료'!$C$5:$F$5, 0)), INDEX('연료 자료'!$G$6:$I$11, MATCH(AD109,'연료 자료'!$B$6:$B$11, 0), MATCH(AC109,'연료 자료'!$G$5:$I$5, 0)))</f>
        <v>9</v>
      </c>
      <c r="AF109" s="6">
        <f>VLOOKUP(AD109, 메모!$J$10:$L$19, 3, FALSE)</f>
        <v>2.6139999999999999</v>
      </c>
      <c r="AG109" s="50">
        <f t="shared" si="3"/>
        <v>1.0746444444444445</v>
      </c>
    </row>
    <row r="110" spans="1:33" ht="18.95" customHeight="1" x14ac:dyDescent="0.25">
      <c r="A110" s="6">
        <v>128</v>
      </c>
      <c r="B110" s="6" t="s">
        <v>101</v>
      </c>
      <c r="C110" s="6" t="s">
        <v>160</v>
      </c>
      <c r="D110" s="6" t="s">
        <v>185</v>
      </c>
      <c r="E110" s="6" t="s">
        <v>193</v>
      </c>
      <c r="F110" s="6" t="s">
        <v>196</v>
      </c>
      <c r="G110" s="6" t="s">
        <v>300</v>
      </c>
      <c r="H110" s="55"/>
      <c r="I110" s="55"/>
      <c r="J110" s="55"/>
      <c r="K110" s="39" t="s">
        <v>390</v>
      </c>
      <c r="L110" s="6" t="b">
        <v>0</v>
      </c>
      <c r="M110" s="6" t="b">
        <v>0</v>
      </c>
      <c r="N110" s="6" t="s">
        <v>358</v>
      </c>
      <c r="O110" s="39" t="s">
        <v>660</v>
      </c>
      <c r="P110" s="39"/>
      <c r="Q110" s="39"/>
      <c r="R110" s="39"/>
      <c r="S110" s="6"/>
      <c r="T110" s="6">
        <v>3</v>
      </c>
      <c r="U110" s="39" t="s">
        <v>405</v>
      </c>
      <c r="V110" s="53" t="s">
        <v>420</v>
      </c>
      <c r="W110" s="23"/>
      <c r="X110" s="6">
        <v>6</v>
      </c>
      <c r="Y110" s="6">
        <f t="shared" ref="Y110:Y112" si="7">X110*2</f>
        <v>12</v>
      </c>
      <c r="Z110" s="6"/>
      <c r="AA110" s="39" t="s">
        <v>455</v>
      </c>
      <c r="AB110" s="39" t="s">
        <v>605</v>
      </c>
      <c r="AC110" s="39" t="s">
        <v>603</v>
      </c>
      <c r="AD110" s="39" t="s">
        <v>499</v>
      </c>
      <c r="AE110" s="39">
        <f>IF(AB110="승용차", INDEX('연료 자료'!$C$6:$F$11, MATCH(AD110,'연료 자료'!$B$6:$B$11, 0), MATCH(AC110,'연료 자료'!$C$5:$F$5, 0)), INDEX('연료 자료'!$G$6:$I$11, MATCH(AD110,'연료 자료'!$B$6:$B$11, 0), MATCH(AC110,'연료 자료'!$G$5:$I$5, 0)))</f>
        <v>9</v>
      </c>
      <c r="AF110" s="6">
        <f>VLOOKUP(AD110, 메모!$J$10:$L$19, 3, FALSE)</f>
        <v>2.6139999999999999</v>
      </c>
      <c r="AG110" s="50">
        <f t="shared" si="3"/>
        <v>1.7426666666666666</v>
      </c>
    </row>
    <row r="111" spans="1:33" ht="18.95" customHeight="1" x14ac:dyDescent="0.25">
      <c r="A111" s="6">
        <v>129</v>
      </c>
      <c r="B111" s="6" t="s">
        <v>102</v>
      </c>
      <c r="C111" s="6" t="s">
        <v>160</v>
      </c>
      <c r="D111" s="6" t="s">
        <v>185</v>
      </c>
      <c r="E111" s="6" t="s">
        <v>193</v>
      </c>
      <c r="F111" s="6" t="s">
        <v>196</v>
      </c>
      <c r="G111" s="6" t="s">
        <v>301</v>
      </c>
      <c r="H111" s="55"/>
      <c r="I111" s="55"/>
      <c r="J111" s="55"/>
      <c r="K111" s="39" t="s">
        <v>390</v>
      </c>
      <c r="L111" s="6" t="b">
        <v>0</v>
      </c>
      <c r="M111" s="6" t="b">
        <v>0</v>
      </c>
      <c r="N111" s="6" t="s">
        <v>358</v>
      </c>
      <c r="O111" s="39" t="s">
        <v>660</v>
      </c>
      <c r="P111" s="39"/>
      <c r="Q111" s="39"/>
      <c r="R111" s="39"/>
      <c r="S111" s="6"/>
      <c r="T111" s="6">
        <v>3</v>
      </c>
      <c r="U111" s="39" t="s">
        <v>405</v>
      </c>
      <c r="V111" s="53" t="s">
        <v>420</v>
      </c>
      <c r="W111" s="23"/>
      <c r="X111" s="6">
        <v>6</v>
      </c>
      <c r="Y111" s="6">
        <f t="shared" si="7"/>
        <v>12</v>
      </c>
      <c r="Z111" s="6"/>
      <c r="AA111" s="39" t="s">
        <v>455</v>
      </c>
      <c r="AB111" s="39" t="s">
        <v>605</v>
      </c>
      <c r="AC111" s="39" t="s">
        <v>603</v>
      </c>
      <c r="AD111" s="39" t="s">
        <v>499</v>
      </c>
      <c r="AE111" s="39">
        <f>IF(AB111="승용차", INDEX('연료 자료'!$C$6:$F$11, MATCH(AD111,'연료 자료'!$B$6:$B$11, 0), MATCH(AC111,'연료 자료'!$C$5:$F$5, 0)), INDEX('연료 자료'!$G$6:$I$11, MATCH(AD111,'연료 자료'!$B$6:$B$11, 0), MATCH(AC111,'연료 자료'!$G$5:$I$5, 0)))</f>
        <v>9</v>
      </c>
      <c r="AF111" s="6">
        <f>VLOOKUP(AD111, 메모!$J$10:$L$19, 3, FALSE)</f>
        <v>2.6139999999999999</v>
      </c>
      <c r="AG111" s="50">
        <f t="shared" si="3"/>
        <v>1.7426666666666666</v>
      </c>
    </row>
    <row r="112" spans="1:33" ht="18.95" customHeight="1" x14ac:dyDescent="0.25">
      <c r="A112" s="6">
        <v>185</v>
      </c>
      <c r="B112" s="6" t="s">
        <v>127</v>
      </c>
      <c r="C112" s="6" t="s">
        <v>167</v>
      </c>
      <c r="D112" s="6" t="s">
        <v>185</v>
      </c>
      <c r="E112" s="6" t="s">
        <v>193</v>
      </c>
      <c r="F112" s="6" t="s">
        <v>196</v>
      </c>
      <c r="G112" s="6" t="s">
        <v>324</v>
      </c>
      <c r="H112" s="55"/>
      <c r="I112" s="55"/>
      <c r="J112" s="55"/>
      <c r="K112" s="39" t="s">
        <v>393</v>
      </c>
      <c r="L112" s="6" t="b">
        <v>0</v>
      </c>
      <c r="M112" s="6" t="b">
        <v>0</v>
      </c>
      <c r="N112" s="6" t="s">
        <v>358</v>
      </c>
      <c r="O112" s="39" t="s">
        <v>660</v>
      </c>
      <c r="P112" s="6"/>
      <c r="Q112" s="6"/>
      <c r="R112" s="6"/>
      <c r="S112" s="6"/>
      <c r="T112" s="6">
        <v>3</v>
      </c>
      <c r="U112" s="39" t="s">
        <v>405</v>
      </c>
      <c r="V112" s="53" t="s">
        <v>418</v>
      </c>
      <c r="W112" s="6"/>
      <c r="X112" s="6">
        <v>3.7</v>
      </c>
      <c r="Y112" s="6">
        <f t="shared" si="7"/>
        <v>7.4</v>
      </c>
      <c r="Z112" s="6"/>
      <c r="AA112" s="39" t="s">
        <v>438</v>
      </c>
      <c r="AB112" s="39" t="s">
        <v>604</v>
      </c>
      <c r="AC112" s="52" t="s">
        <v>601</v>
      </c>
      <c r="AD112" s="39" t="s">
        <v>501</v>
      </c>
      <c r="AE112" s="6">
        <f>IF(AB112="승용차", INDEX('연료 자료'!$C$6:$F$11, MATCH(AD112,'연료 자료'!$B$6:$B$11, 0), MATCH(AC112,'연료 자료'!$C$5:$F$5, 0)), INDEX('연료 자료'!$G$6:$I$11, MATCH(AD112,'연료 자료'!$B$6:$B$11, 0), MATCH(AC112,'연료 자료'!$G$5:$I$5, 0)))</f>
        <v>15</v>
      </c>
      <c r="AF112" s="6">
        <f>VLOOKUP(AD112, 메모!$J$10:$L$19, 3, FALSE)</f>
        <v>2.2709999999999999</v>
      </c>
      <c r="AG112" s="50">
        <f t="shared" si="3"/>
        <v>0.56018000000000001</v>
      </c>
    </row>
    <row r="113" spans="1:33" ht="18.95" customHeight="1" x14ac:dyDescent="0.25">
      <c r="A113" s="6">
        <v>116</v>
      </c>
      <c r="B113" s="6" t="s">
        <v>95</v>
      </c>
      <c r="C113" s="6" t="s">
        <v>162</v>
      </c>
      <c r="D113" s="6" t="s">
        <v>185</v>
      </c>
      <c r="E113" s="6" t="s">
        <v>193</v>
      </c>
      <c r="F113" s="6" t="s">
        <v>196</v>
      </c>
      <c r="G113" s="6" t="s">
        <v>294</v>
      </c>
      <c r="H113" s="55"/>
      <c r="I113" s="55"/>
      <c r="J113" s="55"/>
      <c r="K113" s="39" t="s">
        <v>393</v>
      </c>
      <c r="L113" s="6" t="b">
        <v>0</v>
      </c>
      <c r="M113" s="6" t="b">
        <v>0</v>
      </c>
      <c r="N113" s="6" t="s">
        <v>358</v>
      </c>
      <c r="O113" s="39" t="s">
        <v>660</v>
      </c>
      <c r="P113" s="39"/>
      <c r="Q113" s="39"/>
      <c r="R113" s="39"/>
      <c r="S113" s="6"/>
      <c r="T113" s="6">
        <v>3</v>
      </c>
      <c r="U113" s="39"/>
      <c r="V113" s="53" t="s">
        <v>418</v>
      </c>
      <c r="W113" s="23"/>
      <c r="X113" s="6">
        <v>3.7</v>
      </c>
      <c r="Y113" s="6">
        <f>X113*2</f>
        <v>7.4</v>
      </c>
      <c r="Z113" s="6"/>
      <c r="AA113" s="39" t="s">
        <v>479</v>
      </c>
      <c r="AB113" s="39" t="s">
        <v>604</v>
      </c>
      <c r="AC113" s="39" t="s">
        <v>602</v>
      </c>
      <c r="AD113" s="39" t="s">
        <v>501</v>
      </c>
      <c r="AE113" s="39">
        <f>IF(AB113="승용차", INDEX('연료 자료'!$C$6:$F$11, MATCH(AD113,'연료 자료'!$B$6:$B$11, 0), MATCH(AC113,'연료 자료'!$C$5:$F$5, 0)), INDEX('연료 자료'!$G$6:$I$11, MATCH(AD113,'연료 자료'!$B$6:$B$11, 0), MATCH(AC113,'연료 자료'!$G$5:$I$5, 0)))</f>
        <v>15</v>
      </c>
      <c r="AF113" s="6">
        <f>VLOOKUP(AD113, 메모!$J$10:$L$19, 3, FALSE)</f>
        <v>2.2709999999999999</v>
      </c>
      <c r="AG113" s="50">
        <f t="shared" si="3"/>
        <v>0.56018000000000001</v>
      </c>
    </row>
    <row r="114" spans="1:33" ht="18.95" customHeight="1" x14ac:dyDescent="0.25">
      <c r="A114" s="6">
        <v>117</v>
      </c>
      <c r="B114" s="6" t="s">
        <v>96</v>
      </c>
      <c r="C114" s="6" t="s">
        <v>160</v>
      </c>
      <c r="D114" s="6" t="s">
        <v>185</v>
      </c>
      <c r="E114" s="6" t="s">
        <v>193</v>
      </c>
      <c r="F114" s="6" t="s">
        <v>196</v>
      </c>
      <c r="G114" s="6" t="s">
        <v>295</v>
      </c>
      <c r="H114" s="55"/>
      <c r="I114" s="55"/>
      <c r="J114" s="55"/>
      <c r="K114" s="39" t="s">
        <v>393</v>
      </c>
      <c r="L114" s="6" t="b">
        <v>0</v>
      </c>
      <c r="M114" s="6" t="b">
        <v>0</v>
      </c>
      <c r="N114" s="6" t="s">
        <v>358</v>
      </c>
      <c r="O114" s="39" t="s">
        <v>660</v>
      </c>
      <c r="P114" s="39"/>
      <c r="Q114" s="39"/>
      <c r="R114" s="39"/>
      <c r="S114" s="6"/>
      <c r="T114" s="6">
        <v>3</v>
      </c>
      <c r="U114" s="39"/>
      <c r="V114" s="53" t="s">
        <v>418</v>
      </c>
      <c r="W114" s="23"/>
      <c r="X114" s="6">
        <v>3.7</v>
      </c>
      <c r="Y114" s="6">
        <f>X114*2</f>
        <v>7.4</v>
      </c>
      <c r="Z114" s="6"/>
      <c r="AA114" s="39" t="s">
        <v>480</v>
      </c>
      <c r="AB114" s="39" t="s">
        <v>604</v>
      </c>
      <c r="AC114" s="39" t="s">
        <v>601</v>
      </c>
      <c r="AD114" s="39" t="s">
        <v>501</v>
      </c>
      <c r="AE114" s="39">
        <f>IF(AB114="승용차", INDEX('연료 자료'!$C$6:$F$11, MATCH(AD114,'연료 자료'!$B$6:$B$11, 0), MATCH(AC114,'연료 자료'!$C$5:$F$5, 0)), INDEX('연료 자료'!$G$6:$I$11, MATCH(AD114,'연료 자료'!$B$6:$B$11, 0), MATCH(AC114,'연료 자료'!$G$5:$I$5, 0)))</f>
        <v>15</v>
      </c>
      <c r="AF114" s="6">
        <f>VLOOKUP(AD114, 메모!$J$10:$L$19, 3, FALSE)</f>
        <v>2.2709999999999999</v>
      </c>
      <c r="AG114" s="50">
        <f t="shared" si="3"/>
        <v>0.56018000000000001</v>
      </c>
    </row>
    <row r="115" spans="1:33" ht="18.95" customHeight="1" x14ac:dyDescent="0.25">
      <c r="A115" s="6">
        <v>189</v>
      </c>
      <c r="B115" s="6" t="s">
        <v>129</v>
      </c>
      <c r="C115" s="6" t="s">
        <v>169</v>
      </c>
      <c r="D115" s="6" t="s">
        <v>185</v>
      </c>
      <c r="E115" s="6" t="s">
        <v>193</v>
      </c>
      <c r="F115" s="6" t="s">
        <v>196</v>
      </c>
      <c r="G115" s="6" t="s">
        <v>326</v>
      </c>
      <c r="H115" s="55"/>
      <c r="I115" s="55"/>
      <c r="J115" s="55"/>
      <c r="K115" s="6"/>
      <c r="L115" s="6" t="b">
        <v>0</v>
      </c>
      <c r="M115" s="6" t="b">
        <v>0</v>
      </c>
      <c r="N115" s="6" t="s">
        <v>358</v>
      </c>
      <c r="O115" s="6"/>
      <c r="P115" s="6"/>
      <c r="Q115" s="6"/>
      <c r="R115" s="6"/>
      <c r="S115" s="6"/>
      <c r="T115" s="6">
        <v>3</v>
      </c>
      <c r="U115" s="39"/>
      <c r="V115" s="53" t="s">
        <v>417</v>
      </c>
      <c r="W115" s="6"/>
      <c r="X115" s="6">
        <v>3.7</v>
      </c>
      <c r="Y115" s="6">
        <f t="shared" ref="Y115:Y121" si="8">X115*2</f>
        <v>7.4</v>
      </c>
      <c r="Z115" s="6"/>
      <c r="AA115" s="39" t="s">
        <v>455</v>
      </c>
      <c r="AB115" s="39" t="s">
        <v>605</v>
      </c>
      <c r="AC115" s="39" t="s">
        <v>603</v>
      </c>
      <c r="AD115" s="39" t="s">
        <v>499</v>
      </c>
      <c r="AE115" s="6">
        <f>IF(AB115="승용차", INDEX('연료 자료'!$C$6:$F$11, MATCH(AD115,'연료 자료'!$B$6:$B$11, 0), MATCH(AC115,'연료 자료'!$C$5:$F$5, 0)), INDEX('연료 자료'!$G$6:$I$11, MATCH(AD115,'연료 자료'!$B$6:$B$11, 0), MATCH(AC115,'연료 자료'!$G$5:$I$5, 0)))</f>
        <v>9</v>
      </c>
      <c r="AF115" s="6">
        <f>VLOOKUP(AD115, 메모!$J$10:$L$19, 3, FALSE)</f>
        <v>2.6139999999999999</v>
      </c>
      <c r="AG115" s="50">
        <f t="shared" si="3"/>
        <v>1.0746444444444445</v>
      </c>
    </row>
    <row r="116" spans="1:33" ht="18.95" customHeight="1" x14ac:dyDescent="0.25">
      <c r="A116" s="6">
        <v>119</v>
      </c>
      <c r="B116" s="6" t="s">
        <v>97</v>
      </c>
      <c r="C116" s="6" t="s">
        <v>160</v>
      </c>
      <c r="D116" s="6" t="s">
        <v>185</v>
      </c>
      <c r="E116" s="6" t="s">
        <v>193</v>
      </c>
      <c r="F116" s="6" t="s">
        <v>196</v>
      </c>
      <c r="G116" s="6" t="s">
        <v>296</v>
      </c>
      <c r="H116" s="55"/>
      <c r="I116" s="55"/>
      <c r="J116" s="55"/>
      <c r="K116" s="39" t="s">
        <v>740</v>
      </c>
      <c r="L116" s="6" t="b">
        <v>0</v>
      </c>
      <c r="M116" s="6" t="b">
        <v>0</v>
      </c>
      <c r="N116" s="6" t="s">
        <v>358</v>
      </c>
      <c r="O116" s="39" t="s">
        <v>660</v>
      </c>
      <c r="P116" s="6"/>
      <c r="Q116" s="6"/>
      <c r="R116" s="6"/>
      <c r="S116" s="6"/>
      <c r="T116" s="6">
        <v>3</v>
      </c>
      <c r="U116" s="39" t="s">
        <v>733</v>
      </c>
      <c r="V116" s="53" t="s">
        <v>417</v>
      </c>
      <c r="W116" s="23"/>
      <c r="X116" s="6">
        <v>3.7</v>
      </c>
      <c r="Y116" s="6">
        <f t="shared" si="8"/>
        <v>7.4</v>
      </c>
      <c r="Z116" s="6"/>
      <c r="AA116" s="39" t="s">
        <v>481</v>
      </c>
      <c r="AB116" s="39" t="s">
        <v>604</v>
      </c>
      <c r="AC116" s="39" t="s">
        <v>601</v>
      </c>
      <c r="AD116" s="39" t="s">
        <v>501</v>
      </c>
      <c r="AE116" s="39">
        <f>IF(AB116="승용차", INDEX('연료 자료'!$C$6:$F$11, MATCH(AD116,'연료 자료'!$B$6:$B$11, 0), MATCH(AC116,'연료 자료'!$C$5:$F$5, 0)), INDEX('연료 자료'!$G$6:$I$11, MATCH(AD116,'연료 자료'!$B$6:$B$11, 0), MATCH(AC116,'연료 자료'!$G$5:$I$5, 0)))</f>
        <v>15</v>
      </c>
      <c r="AF116" s="6">
        <f>VLOOKUP(AD116, 메모!$J$10:$L$19, 3, FALSE)</f>
        <v>2.2709999999999999</v>
      </c>
      <c r="AG116" s="50">
        <f t="shared" si="3"/>
        <v>0.56018000000000001</v>
      </c>
    </row>
    <row r="117" spans="1:33" ht="18.95" customHeight="1" x14ac:dyDescent="0.25">
      <c r="A117" s="6">
        <v>172</v>
      </c>
      <c r="B117" s="6" t="s">
        <v>119</v>
      </c>
      <c r="C117" s="6" t="s">
        <v>165</v>
      </c>
      <c r="D117" s="6" t="s">
        <v>185</v>
      </c>
      <c r="E117" s="6" t="s">
        <v>193</v>
      </c>
      <c r="F117" s="6" t="s">
        <v>196</v>
      </c>
      <c r="G117" s="6" t="s">
        <v>317</v>
      </c>
      <c r="H117" s="55"/>
      <c r="I117" s="55"/>
      <c r="J117" s="55"/>
      <c r="K117" s="6" t="s">
        <v>317</v>
      </c>
      <c r="L117" s="6" t="b">
        <v>0</v>
      </c>
      <c r="M117" s="6" t="b">
        <v>0</v>
      </c>
      <c r="N117" s="6" t="s">
        <v>358</v>
      </c>
      <c r="O117" s="39" t="s">
        <v>660</v>
      </c>
      <c r="P117" s="7" t="s">
        <v>746</v>
      </c>
      <c r="Q117" s="6"/>
      <c r="R117" s="6"/>
      <c r="S117" s="6"/>
      <c r="T117" s="6">
        <v>3</v>
      </c>
      <c r="U117" s="39"/>
      <c r="V117" s="53" t="s">
        <v>747</v>
      </c>
      <c r="W117" s="6"/>
      <c r="X117" s="6">
        <v>34</v>
      </c>
      <c r="Y117" s="6">
        <f t="shared" si="8"/>
        <v>68</v>
      </c>
      <c r="Z117" s="6"/>
      <c r="AA117" s="7" t="s">
        <v>715</v>
      </c>
      <c r="AB117" s="39" t="s">
        <v>605</v>
      </c>
      <c r="AC117" s="7" t="s">
        <v>730</v>
      </c>
      <c r="AD117" s="39" t="s">
        <v>499</v>
      </c>
      <c r="AE117" s="6">
        <f>IF(AB117="승용차", INDEX('연료 자료'!$C$6:$F$11, MATCH(AD117,'연료 자료'!$B$6:$B$11, 0), MATCH(AC117,'연료 자료'!$C$5:$F$5, 0)), INDEX('연료 자료'!$G$6:$I$11, MATCH(AD117,'연료 자료'!$B$6:$B$11, 0), MATCH(AC117,'연료 자료'!$G$5:$I$5, 0)))</f>
        <v>5</v>
      </c>
      <c r="AF117" s="6">
        <f>VLOOKUP(AD117, 메모!$J$10:$L$19, 3, FALSE)</f>
        <v>2.6139999999999999</v>
      </c>
      <c r="AG117" s="50">
        <f t="shared" si="3"/>
        <v>17.775199999999998</v>
      </c>
    </row>
    <row r="118" spans="1:33" ht="18.95" customHeight="1" x14ac:dyDescent="0.25">
      <c r="A118" s="6">
        <v>229</v>
      </c>
      <c r="B118" s="6" t="s">
        <v>144</v>
      </c>
      <c r="C118" s="6" t="s">
        <v>177</v>
      </c>
      <c r="D118" s="6" t="s">
        <v>185</v>
      </c>
      <c r="E118" s="6" t="s">
        <v>193</v>
      </c>
      <c r="F118" s="6" t="s">
        <v>196</v>
      </c>
      <c r="G118" s="6" t="s">
        <v>344</v>
      </c>
      <c r="H118" s="55"/>
      <c r="I118" s="55"/>
      <c r="J118" s="55"/>
      <c r="K118" s="39" t="s">
        <v>400</v>
      </c>
      <c r="L118" s="6" t="b">
        <v>0</v>
      </c>
      <c r="M118" s="6" t="b">
        <v>0</v>
      </c>
      <c r="N118" s="6" t="s">
        <v>358</v>
      </c>
      <c r="O118" s="39" t="s">
        <v>660</v>
      </c>
      <c r="P118" s="39" t="s">
        <v>682</v>
      </c>
      <c r="Q118" s="39"/>
      <c r="R118" s="39"/>
      <c r="S118" s="6"/>
      <c r="T118" s="6">
        <v>3</v>
      </c>
      <c r="U118" s="39"/>
      <c r="V118" s="53" t="s">
        <v>748</v>
      </c>
      <c r="W118" s="6"/>
      <c r="X118" s="6">
        <v>6.2</v>
      </c>
      <c r="Y118" s="6">
        <f t="shared" si="8"/>
        <v>12.4</v>
      </c>
      <c r="Z118" s="6"/>
      <c r="AA118" s="39" t="s">
        <v>455</v>
      </c>
      <c r="AB118" s="39" t="s">
        <v>605</v>
      </c>
      <c r="AC118" s="39" t="s">
        <v>603</v>
      </c>
      <c r="AD118" s="39" t="s">
        <v>499</v>
      </c>
      <c r="AE118" s="6">
        <f>IF(AB118="승용차", INDEX('연료 자료'!$C$6:$F$11, MATCH(AD118,'연료 자료'!$B$6:$B$11, 0), MATCH(AC118,'연료 자료'!$C$5:$F$5, 0)), INDEX('연료 자료'!$G$6:$I$11, MATCH(AD118,'연료 자료'!$B$6:$B$11, 0), MATCH(AC118,'연료 자료'!$G$5:$I$5, 0)))</f>
        <v>9</v>
      </c>
      <c r="AF118" s="6">
        <f>VLOOKUP(AD118, 메모!$J$10:$L$19, 3, FALSE)</f>
        <v>2.6139999999999999</v>
      </c>
      <c r="AG118" s="50">
        <f t="shared" si="3"/>
        <v>1.8007555555555554</v>
      </c>
    </row>
    <row r="119" spans="1:33" ht="18.95" customHeight="1" x14ac:dyDescent="0.25">
      <c r="A119" s="6">
        <v>257</v>
      </c>
      <c r="B119" s="6" t="s">
        <v>158</v>
      </c>
      <c r="C119" s="6" t="s">
        <v>183</v>
      </c>
      <c r="D119" s="6" t="s">
        <v>185</v>
      </c>
      <c r="E119" s="6" t="s">
        <v>193</v>
      </c>
      <c r="F119" s="6" t="s">
        <v>196</v>
      </c>
      <c r="G119" s="6" t="s">
        <v>352</v>
      </c>
      <c r="H119" s="55"/>
      <c r="I119" s="55"/>
      <c r="J119" s="55"/>
      <c r="K119" s="39" t="s">
        <v>749</v>
      </c>
      <c r="L119" s="6" t="b">
        <v>0</v>
      </c>
      <c r="M119" s="6" t="b">
        <v>0</v>
      </c>
      <c r="N119" s="6" t="s">
        <v>358</v>
      </c>
      <c r="O119" s="39" t="s">
        <v>660</v>
      </c>
      <c r="P119" s="6"/>
      <c r="Q119" s="6"/>
      <c r="R119" s="6"/>
      <c r="S119" s="6"/>
      <c r="T119" s="6">
        <v>3</v>
      </c>
      <c r="U119" s="39" t="s">
        <v>733</v>
      </c>
      <c r="V119" s="53" t="s">
        <v>752</v>
      </c>
      <c r="W119" s="6"/>
      <c r="X119" s="6">
        <v>8.9</v>
      </c>
      <c r="Y119" s="6">
        <f t="shared" si="8"/>
        <v>17.8</v>
      </c>
      <c r="Z119" s="6"/>
      <c r="AA119" s="39" t="s">
        <v>439</v>
      </c>
      <c r="AB119" s="39" t="s">
        <v>604</v>
      </c>
      <c r="AC119" s="39" t="s">
        <v>599</v>
      </c>
      <c r="AD119" s="39" t="s">
        <v>496</v>
      </c>
      <c r="AE119" s="6">
        <f>IF(AB119="승용차", INDEX('연료 자료'!$C$6:$F$11, MATCH(AD119,'연료 자료'!$B$6:$B$11, 0), MATCH(AC119,'연료 자료'!$C$5:$F$5, 0)), INDEX('연료 자료'!$G$6:$I$11, MATCH(AD119,'연료 자료'!$B$6:$B$11, 0), MATCH(AC119,'연료 자료'!$G$5:$I$5, 0)))</f>
        <v>14</v>
      </c>
      <c r="AF119" s="6">
        <f>VLOOKUP(AD119, 메모!$J$10:$L$19, 3, FALSE)</f>
        <v>2.2709999999999999</v>
      </c>
      <c r="AG119" s="50">
        <f t="shared" si="3"/>
        <v>1.4437071428571429</v>
      </c>
    </row>
    <row r="120" spans="1:33" ht="18.95" customHeight="1" x14ac:dyDescent="0.25">
      <c r="A120" s="6">
        <v>167</v>
      </c>
      <c r="B120" s="6" t="s">
        <v>117</v>
      </c>
      <c r="C120" s="6" t="s">
        <v>164</v>
      </c>
      <c r="D120" s="6" t="s">
        <v>185</v>
      </c>
      <c r="E120" s="6" t="s">
        <v>193</v>
      </c>
      <c r="F120" s="6" t="s">
        <v>196</v>
      </c>
      <c r="G120" s="6" t="s">
        <v>315</v>
      </c>
      <c r="H120" s="55"/>
      <c r="I120" s="55"/>
      <c r="J120" s="55"/>
      <c r="K120" s="39" t="s">
        <v>749</v>
      </c>
      <c r="L120" s="6" t="b">
        <v>0</v>
      </c>
      <c r="M120" s="6" t="b">
        <v>0</v>
      </c>
      <c r="N120" s="6" t="s">
        <v>358</v>
      </c>
      <c r="O120" s="39" t="s">
        <v>660</v>
      </c>
      <c r="P120" s="6"/>
      <c r="Q120" s="6"/>
      <c r="R120" s="6"/>
      <c r="S120" s="6"/>
      <c r="T120" s="6">
        <v>3</v>
      </c>
      <c r="U120" s="39" t="s">
        <v>733</v>
      </c>
      <c r="V120" s="53" t="s">
        <v>752</v>
      </c>
      <c r="W120" s="6"/>
      <c r="X120" s="6">
        <v>8.9</v>
      </c>
      <c r="Y120" s="6">
        <f t="shared" si="8"/>
        <v>17.8</v>
      </c>
      <c r="Z120" s="6"/>
      <c r="AA120" s="39" t="s">
        <v>713</v>
      </c>
      <c r="AB120" s="39" t="s">
        <v>604</v>
      </c>
      <c r="AC120" s="39" t="s">
        <v>600</v>
      </c>
      <c r="AD120" s="39" t="s">
        <v>597</v>
      </c>
      <c r="AE120" s="6">
        <f>IF(AB120="승용차", INDEX('연료 자료'!$C$6:$F$11, MATCH(AD120,'연료 자료'!$B$6:$B$11, 0), MATCH(AC120,'연료 자료'!$C$5:$F$5, 0)), INDEX('연료 자료'!$G$6:$I$11, MATCH(AD120,'연료 자료'!$B$6:$B$11, 0), MATCH(AC120,'연료 자료'!$G$5:$I$5, 0)))</f>
        <v>5</v>
      </c>
      <c r="AF120" s="6">
        <f>VLOOKUP(AD120, 메모!$J$10:$L$19, 3, FALSE)</f>
        <v>0.42499999999999999</v>
      </c>
      <c r="AG120" s="50">
        <f t="shared" si="3"/>
        <v>0.75649999999999995</v>
      </c>
    </row>
    <row r="121" spans="1:33" ht="18.95" customHeight="1" x14ac:dyDescent="0.25">
      <c r="A121" s="6">
        <v>209</v>
      </c>
      <c r="B121" s="6" t="s">
        <v>136</v>
      </c>
      <c r="C121" s="6" t="s">
        <v>174</v>
      </c>
      <c r="D121" s="6" t="s">
        <v>185</v>
      </c>
      <c r="E121" s="6" t="s">
        <v>193</v>
      </c>
      <c r="F121" s="6" t="s">
        <v>196</v>
      </c>
      <c r="G121" s="6" t="s">
        <v>334</v>
      </c>
      <c r="H121" s="55"/>
      <c r="I121" s="55"/>
      <c r="J121" s="55"/>
      <c r="K121" s="39" t="s">
        <v>398</v>
      </c>
      <c r="L121" s="6" t="b">
        <v>0</v>
      </c>
      <c r="M121" s="6" t="b">
        <v>0</v>
      </c>
      <c r="N121" s="6" t="s">
        <v>358</v>
      </c>
      <c r="O121" s="39" t="s">
        <v>658</v>
      </c>
      <c r="P121" s="39"/>
      <c r="Q121" s="39"/>
      <c r="R121" s="39"/>
      <c r="S121" s="6"/>
      <c r="T121" s="6">
        <v>3</v>
      </c>
      <c r="U121" s="39" t="s">
        <v>405</v>
      </c>
      <c r="V121" s="53" t="s">
        <v>738</v>
      </c>
      <c r="W121" s="6"/>
      <c r="X121" s="6">
        <v>70</v>
      </c>
      <c r="Y121" s="6">
        <f t="shared" si="8"/>
        <v>140</v>
      </c>
      <c r="Z121" s="6"/>
      <c r="AA121" s="47" t="s">
        <v>716</v>
      </c>
      <c r="AB121" s="51" t="s">
        <v>729</v>
      </c>
      <c r="AC121" s="7" t="s">
        <v>730</v>
      </c>
      <c r="AD121" s="39" t="s">
        <v>499</v>
      </c>
      <c r="AE121" s="6">
        <f>IF(AB121="승용차", INDEX('연료 자료'!$C$6:$F$11, MATCH(AD121,'연료 자료'!$B$6:$B$11, 0), MATCH(AC121,'연료 자료'!$C$5:$F$5, 0)), INDEX('연료 자료'!$G$6:$I$11, MATCH(AD121,'연료 자료'!$B$6:$B$11, 0), MATCH(AC121,'연료 자료'!$G$5:$I$5, 0)))</f>
        <v>5</v>
      </c>
      <c r="AF121" s="6">
        <f>VLOOKUP(AD121, 메모!$J$10:$L$19, 3, FALSE)</f>
        <v>2.6139999999999999</v>
      </c>
      <c r="AG121" s="50">
        <f t="shared" si="3"/>
        <v>36.595999999999997</v>
      </c>
    </row>
    <row r="122" spans="1:33" ht="18.95" customHeight="1" x14ac:dyDescent="0.25">
      <c r="A122" s="6">
        <v>56</v>
      </c>
      <c r="B122" s="6" t="s">
        <v>50</v>
      </c>
      <c r="C122" s="6" t="s">
        <v>160</v>
      </c>
      <c r="D122" s="6" t="s">
        <v>185</v>
      </c>
      <c r="E122" s="6" t="s">
        <v>193</v>
      </c>
      <c r="F122" s="6" t="s">
        <v>196</v>
      </c>
      <c r="G122" s="6" t="s">
        <v>249</v>
      </c>
      <c r="H122" s="55"/>
      <c r="I122" s="55"/>
      <c r="J122" s="55"/>
      <c r="K122" s="6" t="s">
        <v>249</v>
      </c>
      <c r="L122" s="6" t="b">
        <v>0</v>
      </c>
      <c r="M122" s="6" t="b">
        <v>0</v>
      </c>
      <c r="N122" s="6" t="s">
        <v>358</v>
      </c>
      <c r="O122" s="23" t="s">
        <v>657</v>
      </c>
      <c r="P122" s="7" t="s">
        <v>670</v>
      </c>
      <c r="Q122" s="6"/>
      <c r="R122" s="6"/>
      <c r="S122" s="6"/>
      <c r="T122" s="6">
        <v>3</v>
      </c>
      <c r="U122" s="39" t="s">
        <v>405</v>
      </c>
      <c r="V122" s="53" t="s">
        <v>367</v>
      </c>
      <c r="W122" s="23"/>
      <c r="X122" s="6">
        <v>17</v>
      </c>
      <c r="Y122" s="6">
        <f t="shared" si="4"/>
        <v>34</v>
      </c>
      <c r="Z122" s="6"/>
      <c r="AA122" s="39" t="s">
        <v>462</v>
      </c>
      <c r="AB122" s="39" t="s">
        <v>605</v>
      </c>
      <c r="AC122" s="39" t="s">
        <v>610</v>
      </c>
      <c r="AD122" s="39" t="s">
        <v>499</v>
      </c>
      <c r="AE122" s="39">
        <f>IF(AB122="승용차", INDEX('연료 자료'!$C$6:$F$11, MATCH(AD122,'연료 자료'!$B$6:$B$11, 0), MATCH(AC122,'연료 자료'!$C$5:$F$5, 0)), INDEX('연료 자료'!$G$6:$I$11, MATCH(AD122,'연료 자료'!$B$6:$B$11, 0), MATCH(AC122,'연료 자료'!$G$5:$I$5, 0)))</f>
        <v>3</v>
      </c>
      <c r="AF122" s="6">
        <f>VLOOKUP(AD122, 메모!$J$10:$L$19, 3, FALSE)</f>
        <v>2.6139999999999999</v>
      </c>
      <c r="AG122" s="50">
        <f t="shared" si="3"/>
        <v>14.812666666666667</v>
      </c>
    </row>
    <row r="123" spans="1:33" ht="18.95" customHeight="1" x14ac:dyDescent="0.25">
      <c r="A123" s="6">
        <v>57</v>
      </c>
      <c r="B123" s="6" t="s">
        <v>51</v>
      </c>
      <c r="C123" s="6" t="s">
        <v>160</v>
      </c>
      <c r="D123" s="6" t="s">
        <v>185</v>
      </c>
      <c r="E123" s="6" t="s">
        <v>193</v>
      </c>
      <c r="F123" s="6" t="s">
        <v>196</v>
      </c>
      <c r="G123" s="6" t="s">
        <v>250</v>
      </c>
      <c r="H123" s="55"/>
      <c r="I123" s="55"/>
      <c r="J123" s="55"/>
      <c r="K123" s="6" t="s">
        <v>250</v>
      </c>
      <c r="L123" s="6" t="b">
        <v>0</v>
      </c>
      <c r="M123" s="6" t="b">
        <v>0</v>
      </c>
      <c r="N123" s="6" t="s">
        <v>358</v>
      </c>
      <c r="O123" s="23" t="s">
        <v>657</v>
      </c>
      <c r="P123" s="7" t="s">
        <v>670</v>
      </c>
      <c r="Q123" s="6"/>
      <c r="R123" s="6"/>
      <c r="S123" s="6"/>
      <c r="T123" s="6">
        <v>3</v>
      </c>
      <c r="U123" s="39" t="s">
        <v>405</v>
      </c>
      <c r="V123" s="53" t="s">
        <v>367</v>
      </c>
      <c r="W123" s="23"/>
      <c r="X123" s="6">
        <v>17</v>
      </c>
      <c r="Y123" s="6">
        <f t="shared" si="4"/>
        <v>34</v>
      </c>
      <c r="Z123" s="6"/>
      <c r="AA123" s="39" t="s">
        <v>463</v>
      </c>
      <c r="AB123" s="39" t="s">
        <v>605</v>
      </c>
      <c r="AC123" s="39" t="s">
        <v>603</v>
      </c>
      <c r="AD123" s="39" t="s">
        <v>499</v>
      </c>
      <c r="AE123" s="39">
        <f>IF(AB123="승용차", INDEX('연료 자료'!$C$6:$F$11, MATCH(AD123,'연료 자료'!$B$6:$B$11, 0), MATCH(AC123,'연료 자료'!$C$5:$F$5, 0)), INDEX('연료 자료'!$G$6:$I$11, MATCH(AD123,'연료 자료'!$B$6:$B$11, 0), MATCH(AC123,'연료 자료'!$G$5:$I$5, 0)))</f>
        <v>9</v>
      </c>
      <c r="AF123" s="6">
        <f>VLOOKUP(AD123, 메모!$J$10:$L$19, 3, FALSE)</f>
        <v>2.6139999999999999</v>
      </c>
      <c r="AG123" s="50">
        <f t="shared" si="3"/>
        <v>4.937555555555555</v>
      </c>
    </row>
    <row r="124" spans="1:33" ht="18.95" customHeight="1" x14ac:dyDescent="0.25">
      <c r="A124" s="6">
        <v>58</v>
      </c>
      <c r="B124" s="6" t="s">
        <v>52</v>
      </c>
      <c r="C124" s="6" t="s">
        <v>160</v>
      </c>
      <c r="D124" s="6" t="s">
        <v>185</v>
      </c>
      <c r="E124" s="6" t="s">
        <v>193</v>
      </c>
      <c r="F124" s="6" t="s">
        <v>196</v>
      </c>
      <c r="G124" s="6" t="s">
        <v>251</v>
      </c>
      <c r="H124" s="55"/>
      <c r="I124" s="55"/>
      <c r="J124" s="55"/>
      <c r="K124" s="6" t="s">
        <v>251</v>
      </c>
      <c r="L124" s="6" t="b">
        <v>0</v>
      </c>
      <c r="M124" s="6" t="b">
        <v>0</v>
      </c>
      <c r="N124" s="6" t="s">
        <v>358</v>
      </c>
      <c r="O124" s="23" t="s">
        <v>658</v>
      </c>
      <c r="P124" s="7" t="s">
        <v>671</v>
      </c>
      <c r="Q124" s="6"/>
      <c r="R124" s="6"/>
      <c r="S124" s="6"/>
      <c r="T124" s="6">
        <v>3</v>
      </c>
      <c r="U124" s="39" t="s">
        <v>405</v>
      </c>
      <c r="V124" s="53" t="s">
        <v>368</v>
      </c>
      <c r="W124" s="23"/>
      <c r="X124" s="6">
        <v>34</v>
      </c>
      <c r="Y124" s="6">
        <f t="shared" si="4"/>
        <v>68</v>
      </c>
      <c r="Z124" s="6"/>
      <c r="AA124" s="39" t="s">
        <v>453</v>
      </c>
      <c r="AB124" s="39" t="s">
        <v>605</v>
      </c>
      <c r="AC124" s="39" t="s">
        <v>603</v>
      </c>
      <c r="AD124" s="39" t="s">
        <v>499</v>
      </c>
      <c r="AE124" s="39">
        <f>IF(AB124="승용차", INDEX('연료 자료'!$C$6:$F$11, MATCH(AD124,'연료 자료'!$B$6:$B$11, 0), MATCH(AC124,'연료 자료'!$C$5:$F$5, 0)), INDEX('연료 자료'!$G$6:$I$11, MATCH(AD124,'연료 자료'!$B$6:$B$11, 0), MATCH(AC124,'연료 자료'!$G$5:$I$5, 0)))</f>
        <v>9</v>
      </c>
      <c r="AF124" s="6">
        <f>VLOOKUP(AD124, 메모!$J$10:$L$19, 3, FALSE)</f>
        <v>2.6139999999999999</v>
      </c>
      <c r="AG124" s="50">
        <f t="shared" si="3"/>
        <v>9.8751111111111101</v>
      </c>
    </row>
    <row r="125" spans="1:33" ht="18.95" customHeight="1" x14ac:dyDescent="0.25">
      <c r="A125" s="6">
        <v>59</v>
      </c>
      <c r="B125" s="6" t="s">
        <v>53</v>
      </c>
      <c r="C125" s="6" t="s">
        <v>160</v>
      </c>
      <c r="D125" s="6" t="s">
        <v>185</v>
      </c>
      <c r="E125" s="6" t="s">
        <v>193</v>
      </c>
      <c r="F125" s="6" t="s">
        <v>196</v>
      </c>
      <c r="G125" s="6" t="s">
        <v>252</v>
      </c>
      <c r="H125" s="55"/>
      <c r="I125" s="55"/>
      <c r="J125" s="55"/>
      <c r="K125" s="6" t="s">
        <v>252</v>
      </c>
      <c r="L125" s="6" t="b">
        <v>0</v>
      </c>
      <c r="M125" s="6" t="b">
        <v>0</v>
      </c>
      <c r="N125" s="6" t="s">
        <v>358</v>
      </c>
      <c r="O125" s="23" t="s">
        <v>658</v>
      </c>
      <c r="P125" s="7" t="s">
        <v>671</v>
      </c>
      <c r="Q125" s="6"/>
      <c r="R125" s="6"/>
      <c r="S125" s="6"/>
      <c r="T125" s="6">
        <v>3</v>
      </c>
      <c r="U125" s="39" t="s">
        <v>405</v>
      </c>
      <c r="V125" s="53" t="s">
        <v>368</v>
      </c>
      <c r="W125" s="23"/>
      <c r="X125" s="6">
        <v>34</v>
      </c>
      <c r="Y125" s="6">
        <f t="shared" si="4"/>
        <v>68</v>
      </c>
      <c r="Z125" s="6"/>
      <c r="AA125" s="39" t="s">
        <v>464</v>
      </c>
      <c r="AB125" s="39" t="s">
        <v>605</v>
      </c>
      <c r="AC125" s="39" t="s">
        <v>726</v>
      </c>
      <c r="AD125" s="39" t="s">
        <v>499</v>
      </c>
      <c r="AE125" s="39">
        <f>IF(AB125="승용차", INDEX('연료 자료'!$C$6:$F$11, MATCH(AD125,'연료 자료'!$B$6:$B$11, 0), MATCH(AC125,'연료 자료'!$C$5:$F$5, 0)), INDEX('연료 자료'!$G$6:$I$11, MATCH(AD125,'연료 자료'!$B$6:$B$11, 0), MATCH(AC125,'연료 자료'!$G$5:$I$5, 0)))</f>
        <v>5</v>
      </c>
      <c r="AF125" s="6">
        <f>VLOOKUP(AD125, 메모!$J$10:$L$19, 3, FALSE)</f>
        <v>2.6139999999999999</v>
      </c>
      <c r="AG125" s="50">
        <f t="shared" si="3"/>
        <v>17.775199999999998</v>
      </c>
    </row>
    <row r="126" spans="1:33" ht="18.95" customHeight="1" x14ac:dyDescent="0.25">
      <c r="A126" s="6">
        <v>60</v>
      </c>
      <c r="B126" s="6" t="s">
        <v>54</v>
      </c>
      <c r="C126" s="6" t="s">
        <v>160</v>
      </c>
      <c r="D126" s="6" t="s">
        <v>185</v>
      </c>
      <c r="E126" s="6" t="s">
        <v>193</v>
      </c>
      <c r="F126" s="6" t="s">
        <v>196</v>
      </c>
      <c r="G126" s="6" t="s">
        <v>253</v>
      </c>
      <c r="H126" s="55"/>
      <c r="I126" s="55"/>
      <c r="J126" s="55"/>
      <c r="K126" s="6" t="s">
        <v>253</v>
      </c>
      <c r="L126" s="6" t="b">
        <v>0</v>
      </c>
      <c r="M126" s="6" t="b">
        <v>0</v>
      </c>
      <c r="N126" s="6" t="s">
        <v>358</v>
      </c>
      <c r="O126" s="23" t="s">
        <v>658</v>
      </c>
      <c r="P126" s="7" t="s">
        <v>671</v>
      </c>
      <c r="Q126" s="6"/>
      <c r="R126" s="6"/>
      <c r="S126" s="6"/>
      <c r="T126" s="6">
        <v>3</v>
      </c>
      <c r="U126" s="39" t="s">
        <v>405</v>
      </c>
      <c r="V126" s="53" t="s">
        <v>368</v>
      </c>
      <c r="W126" s="23"/>
      <c r="X126" s="6">
        <v>34</v>
      </c>
      <c r="Y126" s="6">
        <f t="shared" si="4"/>
        <v>68</v>
      </c>
      <c r="Z126" s="6"/>
      <c r="AA126" s="39" t="s">
        <v>453</v>
      </c>
      <c r="AB126" s="39" t="s">
        <v>605</v>
      </c>
      <c r="AC126" s="39" t="s">
        <v>603</v>
      </c>
      <c r="AD126" s="39" t="s">
        <v>499</v>
      </c>
      <c r="AE126" s="39">
        <f>IF(AB126="승용차", INDEX('연료 자료'!$C$6:$F$11, MATCH(AD126,'연료 자료'!$B$6:$B$11, 0), MATCH(AC126,'연료 자료'!$C$5:$F$5, 0)), INDEX('연료 자료'!$G$6:$I$11, MATCH(AD126,'연료 자료'!$B$6:$B$11, 0), MATCH(AC126,'연료 자료'!$G$5:$I$5, 0)))</f>
        <v>9</v>
      </c>
      <c r="AF126" s="6">
        <f>VLOOKUP(AD126, 메모!$J$10:$L$19, 3, FALSE)</f>
        <v>2.6139999999999999</v>
      </c>
      <c r="AG126" s="50">
        <f t="shared" si="3"/>
        <v>9.8751111111111101</v>
      </c>
    </row>
    <row r="127" spans="1:33" ht="18.95" customHeight="1" x14ac:dyDescent="0.25">
      <c r="A127" s="6">
        <v>83</v>
      </c>
      <c r="B127" s="6" t="s">
        <v>72</v>
      </c>
      <c r="C127" s="6" t="s">
        <v>160</v>
      </c>
      <c r="D127" s="6" t="s">
        <v>185</v>
      </c>
      <c r="E127" s="6" t="s">
        <v>193</v>
      </c>
      <c r="F127" s="6" t="s">
        <v>196</v>
      </c>
      <c r="G127" s="6" t="s">
        <v>271</v>
      </c>
      <c r="H127" s="55"/>
      <c r="I127" s="55"/>
      <c r="J127" s="55"/>
      <c r="K127" s="6" t="s">
        <v>271</v>
      </c>
      <c r="L127" s="6" t="b">
        <v>0</v>
      </c>
      <c r="M127" s="6" t="b">
        <v>0</v>
      </c>
      <c r="N127" s="6" t="s">
        <v>358</v>
      </c>
      <c r="O127" s="23" t="s">
        <v>658</v>
      </c>
      <c r="P127" s="44" t="s">
        <v>666</v>
      </c>
      <c r="Q127" s="7" t="s">
        <v>664</v>
      </c>
      <c r="R127" s="44" t="s">
        <v>667</v>
      </c>
      <c r="S127" s="6"/>
      <c r="T127" s="6">
        <v>3</v>
      </c>
      <c r="U127" s="39" t="s">
        <v>405</v>
      </c>
      <c r="V127" s="53" t="s">
        <v>513</v>
      </c>
      <c r="W127" s="23"/>
      <c r="X127" s="6">
        <v>70</v>
      </c>
      <c r="Y127" s="6">
        <f>X127*2</f>
        <v>140</v>
      </c>
      <c r="Z127" s="6"/>
      <c r="AA127" s="39" t="s">
        <v>473</v>
      </c>
      <c r="AB127" s="39" t="s">
        <v>605</v>
      </c>
      <c r="AC127" s="39" t="s">
        <v>726</v>
      </c>
      <c r="AD127" s="39" t="s">
        <v>499</v>
      </c>
      <c r="AE127" s="39">
        <f>IF(AB127="승용차", INDEX('연료 자료'!$C$6:$F$11, MATCH(AD127,'연료 자료'!$B$6:$B$11, 0), MATCH(AC127,'연료 자료'!$C$5:$F$5, 0)), INDEX('연료 자료'!$G$6:$I$11, MATCH(AD127,'연료 자료'!$B$6:$B$11, 0), MATCH(AC127,'연료 자료'!$G$5:$I$5, 0)))</f>
        <v>5</v>
      </c>
      <c r="AF127" s="6">
        <f>VLOOKUP(AD127, 메모!$J$10:$L$19, 3, FALSE)</f>
        <v>2.6139999999999999</v>
      </c>
      <c r="AG127" s="50">
        <f t="shared" ref="AG127:AG168" si="9">IF(Z127="왕복", Y127/AE127*AF127, X127/AE127*AF127)</f>
        <v>36.595999999999997</v>
      </c>
    </row>
    <row r="128" spans="1:33" ht="18.95" customHeight="1" x14ac:dyDescent="0.25">
      <c r="A128" s="6">
        <v>84</v>
      </c>
      <c r="B128" s="6" t="s">
        <v>73</v>
      </c>
      <c r="C128" s="6" t="s">
        <v>160</v>
      </c>
      <c r="D128" s="6" t="s">
        <v>185</v>
      </c>
      <c r="E128" s="6" t="s">
        <v>193</v>
      </c>
      <c r="F128" s="6" t="s">
        <v>196</v>
      </c>
      <c r="G128" s="6" t="s">
        <v>272</v>
      </c>
      <c r="H128" s="55"/>
      <c r="I128" s="55"/>
      <c r="J128" s="55"/>
      <c r="K128" s="6" t="s">
        <v>272</v>
      </c>
      <c r="L128" s="6" t="b">
        <v>0</v>
      </c>
      <c r="M128" s="6" t="b">
        <v>0</v>
      </c>
      <c r="N128" s="6" t="s">
        <v>358</v>
      </c>
      <c r="O128" s="23" t="s">
        <v>658</v>
      </c>
      <c r="P128" s="44" t="s">
        <v>666</v>
      </c>
      <c r="Q128" s="7" t="s">
        <v>664</v>
      </c>
      <c r="R128" s="44" t="s">
        <v>667</v>
      </c>
      <c r="S128" s="6"/>
      <c r="T128" s="6">
        <v>3</v>
      </c>
      <c r="U128" s="39" t="s">
        <v>405</v>
      </c>
      <c r="V128" s="53" t="s">
        <v>513</v>
      </c>
      <c r="W128" s="23"/>
      <c r="X128" s="6">
        <v>70</v>
      </c>
      <c r="Y128" s="6">
        <f>X128*2</f>
        <v>140</v>
      </c>
      <c r="Z128" s="6"/>
      <c r="AA128" s="39" t="s">
        <v>474</v>
      </c>
      <c r="AB128" s="39" t="s">
        <v>605</v>
      </c>
      <c r="AC128" s="39" t="s">
        <v>610</v>
      </c>
      <c r="AD128" s="39" t="s">
        <v>499</v>
      </c>
      <c r="AE128" s="39">
        <f>IF(AB128="승용차", INDEX('연료 자료'!$C$6:$F$11, MATCH(AD128,'연료 자료'!$B$6:$B$11, 0), MATCH(AC128,'연료 자료'!$C$5:$F$5, 0)), INDEX('연료 자료'!$G$6:$I$11, MATCH(AD128,'연료 자료'!$B$6:$B$11, 0), MATCH(AC128,'연료 자료'!$G$5:$I$5, 0)))</f>
        <v>3</v>
      </c>
      <c r="AF128" s="6">
        <f>VLOOKUP(AD128, 메모!$J$10:$L$19, 3, FALSE)</f>
        <v>2.6139999999999999</v>
      </c>
      <c r="AG128" s="50">
        <f t="shared" si="9"/>
        <v>60.993333333333325</v>
      </c>
    </row>
    <row r="129" spans="1:33" ht="18.95" customHeight="1" x14ac:dyDescent="0.25">
      <c r="A129" s="6">
        <v>107</v>
      </c>
      <c r="B129" s="6" t="s">
        <v>91</v>
      </c>
      <c r="C129" s="6" t="s">
        <v>160</v>
      </c>
      <c r="D129" s="6" t="s">
        <v>185</v>
      </c>
      <c r="E129" s="6" t="s">
        <v>193</v>
      </c>
      <c r="F129" s="6" t="s">
        <v>196</v>
      </c>
      <c r="G129" s="6" t="s">
        <v>290</v>
      </c>
      <c r="H129" s="55"/>
      <c r="I129" s="55"/>
      <c r="J129" s="55"/>
      <c r="K129" s="44" t="s">
        <v>404</v>
      </c>
      <c r="L129" s="6" t="b">
        <v>0</v>
      </c>
      <c r="M129" s="6" t="b">
        <v>0</v>
      </c>
      <c r="N129" s="6" t="s">
        <v>358</v>
      </c>
      <c r="O129" s="44" t="s">
        <v>658</v>
      </c>
      <c r="P129" s="7" t="s">
        <v>678</v>
      </c>
      <c r="Q129" s="44"/>
      <c r="R129" s="44"/>
      <c r="S129" s="6"/>
      <c r="T129" s="6">
        <v>3</v>
      </c>
      <c r="U129" s="39" t="s">
        <v>405</v>
      </c>
      <c r="V129" s="53" t="s">
        <v>372</v>
      </c>
      <c r="W129" s="47"/>
      <c r="X129" s="6">
        <v>8.9</v>
      </c>
      <c r="Y129" s="6">
        <f>X129*2</f>
        <v>17.8</v>
      </c>
      <c r="Z129" s="6"/>
      <c r="AA129" s="39" t="s">
        <v>472</v>
      </c>
      <c r="AB129" s="39" t="s">
        <v>605</v>
      </c>
      <c r="AC129" s="39" t="s">
        <v>726</v>
      </c>
      <c r="AD129" s="39" t="s">
        <v>499</v>
      </c>
      <c r="AE129" s="39">
        <f>IF(AB129="승용차", INDEX('연료 자료'!$C$6:$F$11, MATCH(AD129,'연료 자료'!$B$6:$B$11, 0), MATCH(AC129,'연료 자료'!$C$5:$F$5, 0)), INDEX('연료 자료'!$G$6:$I$11, MATCH(AD129,'연료 자료'!$B$6:$B$11, 0), MATCH(AC129,'연료 자료'!$G$5:$I$5, 0)))</f>
        <v>5</v>
      </c>
      <c r="AF129" s="6">
        <f>VLOOKUP(AD129, 메모!$J$10:$L$19, 3, FALSE)</f>
        <v>2.6139999999999999</v>
      </c>
      <c r="AG129" s="50">
        <f t="shared" si="9"/>
        <v>4.6529199999999999</v>
      </c>
    </row>
    <row r="130" spans="1:33" ht="18.95" customHeight="1" x14ac:dyDescent="0.25">
      <c r="A130" s="6">
        <v>108</v>
      </c>
      <c r="B130" s="6" t="s">
        <v>92</v>
      </c>
      <c r="C130" s="6" t="s">
        <v>160</v>
      </c>
      <c r="D130" s="6" t="s">
        <v>185</v>
      </c>
      <c r="E130" s="6" t="s">
        <v>193</v>
      </c>
      <c r="F130" s="6" t="s">
        <v>196</v>
      </c>
      <c r="G130" s="6" t="s">
        <v>291</v>
      </c>
      <c r="H130" s="55"/>
      <c r="I130" s="55"/>
      <c r="J130" s="55"/>
      <c r="K130" s="44" t="s">
        <v>404</v>
      </c>
      <c r="L130" s="6" t="b">
        <v>0</v>
      </c>
      <c r="M130" s="6" t="b">
        <v>0</v>
      </c>
      <c r="N130" s="6" t="s">
        <v>358</v>
      </c>
      <c r="O130" s="44" t="s">
        <v>658</v>
      </c>
      <c r="P130" s="7" t="s">
        <v>678</v>
      </c>
      <c r="Q130" s="44"/>
      <c r="R130" s="44"/>
      <c r="S130" s="6"/>
      <c r="T130" s="6">
        <v>3</v>
      </c>
      <c r="U130" s="39" t="s">
        <v>405</v>
      </c>
      <c r="V130" s="53" t="s">
        <v>372</v>
      </c>
      <c r="W130" s="47"/>
      <c r="X130" s="6">
        <v>8.9</v>
      </c>
      <c r="Y130" s="6">
        <f>X130*2</f>
        <v>17.8</v>
      </c>
      <c r="Z130" s="6"/>
      <c r="AA130" s="39" t="s">
        <v>467</v>
      </c>
      <c r="AB130" s="39" t="s">
        <v>605</v>
      </c>
      <c r="AC130" s="39" t="s">
        <v>726</v>
      </c>
      <c r="AD130" s="39" t="s">
        <v>499</v>
      </c>
      <c r="AE130" s="39">
        <f>IF(AB130="승용차", INDEX('연료 자료'!$C$6:$F$11, MATCH(AD130,'연료 자료'!$B$6:$B$11, 0), MATCH(AC130,'연료 자료'!$C$5:$F$5, 0)), INDEX('연료 자료'!$G$6:$I$11, MATCH(AD130,'연료 자료'!$B$6:$B$11, 0), MATCH(AC130,'연료 자료'!$G$5:$I$5, 0)))</f>
        <v>5</v>
      </c>
      <c r="AF130" s="6">
        <f>VLOOKUP(AD130, 메모!$J$10:$L$19, 3, FALSE)</f>
        <v>2.6139999999999999</v>
      </c>
      <c r="AG130" s="50">
        <f t="shared" si="9"/>
        <v>4.6529199999999999</v>
      </c>
    </row>
    <row r="131" spans="1:33" ht="18.95" customHeight="1" x14ac:dyDescent="0.25">
      <c r="A131" s="6">
        <v>187</v>
      </c>
      <c r="B131" s="47" t="s">
        <v>717</v>
      </c>
      <c r="C131" s="6" t="s">
        <v>167</v>
      </c>
      <c r="D131" s="6" t="s">
        <v>185</v>
      </c>
      <c r="E131" s="6" t="s">
        <v>193</v>
      </c>
      <c r="F131" s="6" t="s">
        <v>196</v>
      </c>
      <c r="G131" s="6" t="s">
        <v>325</v>
      </c>
      <c r="H131" s="55"/>
      <c r="I131" s="55"/>
      <c r="J131" s="55"/>
      <c r="K131" s="39" t="s">
        <v>398</v>
      </c>
      <c r="L131" s="6" t="b">
        <v>0</v>
      </c>
      <c r="M131" s="6" t="b">
        <v>0</v>
      </c>
      <c r="N131" s="6" t="s">
        <v>358</v>
      </c>
      <c r="O131" s="39" t="s">
        <v>658</v>
      </c>
      <c r="P131" s="6"/>
      <c r="Q131" s="6"/>
      <c r="R131" s="6"/>
      <c r="S131" s="6"/>
      <c r="T131" s="6">
        <v>3</v>
      </c>
      <c r="U131" s="39" t="s">
        <v>405</v>
      </c>
      <c r="V131" s="53" t="s">
        <v>738</v>
      </c>
      <c r="W131" s="6"/>
      <c r="X131" s="6">
        <v>70</v>
      </c>
      <c r="Y131" s="6">
        <f t="shared" ref="Y131:Y134" si="10">X131*2</f>
        <v>140</v>
      </c>
      <c r="Z131" s="6"/>
      <c r="AA131" s="7" t="s">
        <v>718</v>
      </c>
      <c r="AB131" s="39" t="s">
        <v>605</v>
      </c>
      <c r="AC131" s="7" t="s">
        <v>730</v>
      </c>
      <c r="AD131" s="39" t="s">
        <v>499</v>
      </c>
      <c r="AE131" s="6">
        <f>IF(AB131="승용차", INDEX('연료 자료'!$C$6:$F$11, MATCH(AD131,'연료 자료'!$B$6:$B$11, 0), MATCH(AC131,'연료 자료'!$C$5:$F$5, 0)), INDEX('연료 자료'!$G$6:$I$11, MATCH(AD131,'연료 자료'!$B$6:$B$11, 0), MATCH(AC131,'연료 자료'!$G$5:$I$5, 0)))</f>
        <v>5</v>
      </c>
      <c r="AF131" s="6">
        <f>VLOOKUP(AD131, 메모!$J$10:$L$19, 3, FALSE)</f>
        <v>2.6139999999999999</v>
      </c>
      <c r="AG131" s="50">
        <f t="shared" si="9"/>
        <v>36.595999999999997</v>
      </c>
    </row>
    <row r="132" spans="1:33" ht="18.95" customHeight="1" x14ac:dyDescent="0.25">
      <c r="A132" s="6">
        <v>240</v>
      </c>
      <c r="B132" s="6" t="s">
        <v>153</v>
      </c>
      <c r="C132" s="6" t="s">
        <v>181</v>
      </c>
      <c r="D132" s="6" t="s">
        <v>190</v>
      </c>
      <c r="E132" s="6" t="s">
        <v>193</v>
      </c>
      <c r="F132" s="6" t="s">
        <v>196</v>
      </c>
      <c r="G132" s="6" t="s">
        <v>349</v>
      </c>
      <c r="H132" s="55"/>
      <c r="I132" s="55"/>
      <c r="J132" s="55"/>
      <c r="K132" s="39" t="s">
        <v>398</v>
      </c>
      <c r="L132" s="6" t="b">
        <v>0</v>
      </c>
      <c r="M132" s="6" t="b">
        <v>0</v>
      </c>
      <c r="N132" s="6" t="s">
        <v>358</v>
      </c>
      <c r="O132" s="39" t="s">
        <v>658</v>
      </c>
      <c r="P132" s="6"/>
      <c r="Q132" s="6"/>
      <c r="R132" s="6"/>
      <c r="S132" s="6"/>
      <c r="T132" s="6">
        <v>3</v>
      </c>
      <c r="U132" s="39" t="s">
        <v>405</v>
      </c>
      <c r="V132" s="53" t="s">
        <v>738</v>
      </c>
      <c r="W132" s="6"/>
      <c r="X132" s="6">
        <v>70</v>
      </c>
      <c r="Y132" s="6">
        <f t="shared" si="10"/>
        <v>140</v>
      </c>
      <c r="Z132" s="6"/>
      <c r="AA132" s="47" t="s">
        <v>722</v>
      </c>
      <c r="AB132" s="39" t="s">
        <v>605</v>
      </c>
      <c r="AC132" s="7" t="s">
        <v>731</v>
      </c>
      <c r="AD132" s="39" t="s">
        <v>499</v>
      </c>
      <c r="AE132" s="6">
        <f>IF(AB132="승용차", INDEX('연료 자료'!$C$6:$F$11, MATCH(AD132,'연료 자료'!$B$6:$B$11, 0), MATCH(AC132,'연료 자료'!$C$5:$F$5, 0)), INDEX('연료 자료'!$G$6:$I$11, MATCH(AD132,'연료 자료'!$B$6:$B$11, 0), MATCH(AC132,'연료 자료'!$G$5:$I$5, 0)))</f>
        <v>9</v>
      </c>
      <c r="AF132" s="6">
        <f>VLOOKUP(AD132, 메모!$J$10:$L$19, 3, FALSE)</f>
        <v>2.6139999999999999</v>
      </c>
      <c r="AG132" s="50">
        <f t="shared" si="9"/>
        <v>20.33111111111111</v>
      </c>
    </row>
    <row r="133" spans="1:33" ht="18.95" customHeight="1" x14ac:dyDescent="0.25">
      <c r="A133" s="6">
        <v>122</v>
      </c>
      <c r="B133" s="6" t="s">
        <v>99</v>
      </c>
      <c r="C133" s="6" t="s">
        <v>160</v>
      </c>
      <c r="D133" s="6" t="s">
        <v>185</v>
      </c>
      <c r="E133" s="6" t="s">
        <v>193</v>
      </c>
      <c r="F133" s="6" t="s">
        <v>196</v>
      </c>
      <c r="G133" s="6" t="s">
        <v>298</v>
      </c>
      <c r="H133" s="55"/>
      <c r="I133" s="55"/>
      <c r="J133" s="55"/>
      <c r="K133" s="39" t="s">
        <v>735</v>
      </c>
      <c r="L133" s="6" t="b">
        <v>0</v>
      </c>
      <c r="M133" s="6" t="b">
        <v>0</v>
      </c>
      <c r="N133" s="6" t="s">
        <v>358</v>
      </c>
      <c r="O133" s="39" t="s">
        <v>745</v>
      </c>
      <c r="P133" s="6"/>
      <c r="Q133" s="6"/>
      <c r="R133" s="6"/>
      <c r="S133" s="6"/>
      <c r="T133" s="6">
        <v>3</v>
      </c>
      <c r="U133" s="39" t="s">
        <v>405</v>
      </c>
      <c r="V133" s="53" t="s">
        <v>753</v>
      </c>
      <c r="W133" s="6"/>
      <c r="X133" s="6">
        <v>7.8</v>
      </c>
      <c r="Y133" s="6">
        <f t="shared" si="10"/>
        <v>15.6</v>
      </c>
      <c r="Z133" s="6"/>
      <c r="AA133" s="7" t="s">
        <v>710</v>
      </c>
      <c r="AB133" s="39" t="s">
        <v>605</v>
      </c>
      <c r="AC133" s="7" t="s">
        <v>725</v>
      </c>
      <c r="AD133" s="39" t="s">
        <v>499</v>
      </c>
      <c r="AE133" s="6">
        <f>IF(AB133="승용차", INDEX('연료 자료'!$C$6:$F$11, MATCH(AD133,'연료 자료'!$B$6:$B$11, 0), MATCH(AC133,'연료 자료'!$C$5:$F$5, 0)), INDEX('연료 자료'!$G$6:$I$11, MATCH(AD133,'연료 자료'!$B$6:$B$11, 0), MATCH(AC133,'연료 자료'!$G$5:$I$5, 0)))</f>
        <v>3</v>
      </c>
      <c r="AF133" s="6">
        <f>VLOOKUP(AD133, 메모!$J$10:$L$19, 3, FALSE)</f>
        <v>2.6139999999999999</v>
      </c>
      <c r="AG133" s="50">
        <f t="shared" si="9"/>
        <v>6.7964000000000002</v>
      </c>
    </row>
    <row r="134" spans="1:33" ht="18.95" customHeight="1" x14ac:dyDescent="0.25">
      <c r="A134" s="6">
        <v>123</v>
      </c>
      <c r="B134" s="6" t="s">
        <v>100</v>
      </c>
      <c r="C134" s="6" t="s">
        <v>160</v>
      </c>
      <c r="D134" s="6" t="s">
        <v>185</v>
      </c>
      <c r="E134" s="6" t="s">
        <v>193</v>
      </c>
      <c r="F134" s="6" t="s">
        <v>196</v>
      </c>
      <c r="G134" s="6" t="s">
        <v>299</v>
      </c>
      <c r="H134" s="55"/>
      <c r="I134" s="55"/>
      <c r="J134" s="55"/>
      <c r="K134" s="39" t="s">
        <v>735</v>
      </c>
      <c r="L134" s="6" t="b">
        <v>0</v>
      </c>
      <c r="M134" s="6" t="b">
        <v>0</v>
      </c>
      <c r="N134" s="6" t="s">
        <v>358</v>
      </c>
      <c r="O134" s="39" t="s">
        <v>745</v>
      </c>
      <c r="P134" s="6"/>
      <c r="Q134" s="6"/>
      <c r="R134" s="6"/>
      <c r="S134" s="6"/>
      <c r="T134" s="6">
        <v>3</v>
      </c>
      <c r="U134" s="39" t="s">
        <v>405</v>
      </c>
      <c r="V134" s="53" t="s">
        <v>753</v>
      </c>
      <c r="W134" s="6"/>
      <c r="X134" s="6">
        <v>7.8</v>
      </c>
      <c r="Y134" s="6">
        <f t="shared" si="10"/>
        <v>15.6</v>
      </c>
      <c r="Z134" s="6"/>
      <c r="AA134" s="7" t="s">
        <v>711</v>
      </c>
      <c r="AB134" s="39" t="s">
        <v>605</v>
      </c>
      <c r="AC134" s="7" t="s">
        <v>725</v>
      </c>
      <c r="AD134" s="39" t="s">
        <v>499</v>
      </c>
      <c r="AE134" s="6">
        <f>IF(AB134="승용차", INDEX('연료 자료'!$C$6:$F$11, MATCH(AD134,'연료 자료'!$B$6:$B$11, 0), MATCH(AC134,'연료 자료'!$C$5:$F$5, 0)), INDEX('연료 자료'!$G$6:$I$11, MATCH(AD134,'연료 자료'!$B$6:$B$11, 0), MATCH(AC134,'연료 자료'!$G$5:$I$5, 0)))</f>
        <v>3</v>
      </c>
      <c r="AF134" s="6">
        <f>VLOOKUP(AD134, 메모!$J$10:$L$19, 3, FALSE)</f>
        <v>2.6139999999999999</v>
      </c>
      <c r="AG134" s="50">
        <f t="shared" si="9"/>
        <v>6.7964000000000002</v>
      </c>
    </row>
    <row r="135" spans="1:33" ht="18.95" customHeight="1" x14ac:dyDescent="0.25">
      <c r="A135" s="6">
        <v>145</v>
      </c>
      <c r="B135" s="6" t="s">
        <v>105</v>
      </c>
      <c r="C135" s="6" t="s">
        <v>164</v>
      </c>
      <c r="D135" s="6" t="s">
        <v>185</v>
      </c>
      <c r="E135" s="6" t="s">
        <v>193</v>
      </c>
      <c r="F135" s="6" t="s">
        <v>196</v>
      </c>
      <c r="G135" s="6" t="s">
        <v>303</v>
      </c>
      <c r="H135" s="55"/>
      <c r="I135" s="55"/>
      <c r="J135" s="55"/>
      <c r="K135" s="39" t="s">
        <v>385</v>
      </c>
      <c r="L135" s="6" t="b">
        <v>0</v>
      </c>
      <c r="M135" s="6" t="b">
        <v>0</v>
      </c>
      <c r="N135" s="6" t="s">
        <v>358</v>
      </c>
      <c r="O135" s="39" t="s">
        <v>741</v>
      </c>
      <c r="P135" s="39"/>
      <c r="Q135" s="39"/>
      <c r="R135" s="39"/>
      <c r="S135" s="6"/>
      <c r="T135" s="7">
        <v>4</v>
      </c>
      <c r="U135" s="39" t="s">
        <v>741</v>
      </c>
      <c r="V135" s="53" t="s">
        <v>421</v>
      </c>
      <c r="W135" s="23"/>
      <c r="X135" s="6">
        <v>13</v>
      </c>
      <c r="Y135" s="6">
        <f>X135*2</f>
        <v>26</v>
      </c>
      <c r="Z135" s="6"/>
      <c r="AA135" s="39" t="s">
        <v>432</v>
      </c>
      <c r="AB135" s="39" t="s">
        <v>604</v>
      </c>
      <c r="AC135" s="39" t="s">
        <v>602</v>
      </c>
      <c r="AD135" s="39" t="s">
        <v>496</v>
      </c>
      <c r="AE135" s="39">
        <f>IF(AB135="승용차", INDEX('연료 자료'!$C$6:$F$11, MATCH(AD135,'연료 자료'!$B$6:$B$11, 0), MATCH(AC135,'연료 자료'!$C$5:$F$5, 0)), INDEX('연료 자료'!$G$6:$I$11, MATCH(AD135,'연료 자료'!$B$6:$B$11, 0), MATCH(AC135,'연료 자료'!$G$5:$I$5, 0)))</f>
        <v>7</v>
      </c>
      <c r="AF135" s="6">
        <f>VLOOKUP(AD135, 메모!$J$10:$L$19, 3, FALSE)</f>
        <v>2.2709999999999999</v>
      </c>
      <c r="AG135" s="50">
        <f t="shared" si="9"/>
        <v>4.2175714285714285</v>
      </c>
    </row>
    <row r="136" spans="1:33" ht="18.95" customHeight="1" x14ac:dyDescent="0.25">
      <c r="A136" s="6">
        <v>173</v>
      </c>
      <c r="B136" s="6" t="s">
        <v>120</v>
      </c>
      <c r="C136" s="6" t="s">
        <v>165</v>
      </c>
      <c r="D136" s="6" t="s">
        <v>185</v>
      </c>
      <c r="E136" s="6" t="s">
        <v>193</v>
      </c>
      <c r="F136" s="6" t="s">
        <v>196</v>
      </c>
      <c r="G136" s="6" t="s">
        <v>318</v>
      </c>
      <c r="H136" s="55"/>
      <c r="I136" s="55"/>
      <c r="J136" s="55"/>
      <c r="K136" s="39" t="s">
        <v>385</v>
      </c>
      <c r="L136" s="6" t="b">
        <v>0</v>
      </c>
      <c r="M136" s="6" t="b">
        <v>0</v>
      </c>
      <c r="N136" s="6" t="s">
        <v>358</v>
      </c>
      <c r="O136" s="39"/>
      <c r="P136" s="39"/>
      <c r="Q136" s="39"/>
      <c r="R136" s="39"/>
      <c r="S136" s="6"/>
      <c r="T136" s="7">
        <v>4</v>
      </c>
      <c r="U136" s="39" t="s">
        <v>741</v>
      </c>
      <c r="V136" s="53" t="s">
        <v>421</v>
      </c>
      <c r="W136" s="23"/>
      <c r="X136" s="6">
        <v>13</v>
      </c>
      <c r="Y136" s="6">
        <f t="shared" ref="Y136:Y138" si="11">X136*2</f>
        <v>26</v>
      </c>
      <c r="Z136" s="6"/>
      <c r="AA136" s="39" t="s">
        <v>485</v>
      </c>
      <c r="AB136" s="39" t="s">
        <v>604</v>
      </c>
      <c r="AC136" s="39" t="s">
        <v>602</v>
      </c>
      <c r="AD136" s="39" t="s">
        <v>496</v>
      </c>
      <c r="AE136" s="39">
        <f>IF(AB136="승용차", INDEX('연료 자료'!$C$6:$F$11, MATCH(AD136,'연료 자료'!$B$6:$B$11, 0), MATCH(AC136,'연료 자료'!$C$5:$F$5, 0)), INDEX('연료 자료'!$G$6:$I$11, MATCH(AD136,'연료 자료'!$B$6:$B$11, 0), MATCH(AC136,'연료 자료'!$G$5:$I$5, 0)))</f>
        <v>7</v>
      </c>
      <c r="AF136" s="6">
        <f>VLOOKUP(AD136, 메모!$J$10:$L$19, 3, FALSE)</f>
        <v>2.2709999999999999</v>
      </c>
      <c r="AG136" s="50">
        <f t="shared" si="9"/>
        <v>4.2175714285714285</v>
      </c>
    </row>
    <row r="137" spans="1:33" ht="18.95" customHeight="1" x14ac:dyDescent="0.25">
      <c r="A137" s="6">
        <v>174</v>
      </c>
      <c r="B137" s="6" t="s">
        <v>105</v>
      </c>
      <c r="C137" s="6" t="s">
        <v>165</v>
      </c>
      <c r="D137" s="6" t="s">
        <v>185</v>
      </c>
      <c r="E137" s="6" t="s">
        <v>193</v>
      </c>
      <c r="F137" s="6" t="s">
        <v>196</v>
      </c>
      <c r="G137" s="6" t="s">
        <v>303</v>
      </c>
      <c r="H137" s="55"/>
      <c r="I137" s="55"/>
      <c r="J137" s="55"/>
      <c r="K137" s="39" t="s">
        <v>385</v>
      </c>
      <c r="L137" s="6" t="b">
        <v>0</v>
      </c>
      <c r="M137" s="6" t="b">
        <v>0</v>
      </c>
      <c r="N137" s="6" t="s">
        <v>358</v>
      </c>
      <c r="O137" s="39"/>
      <c r="P137" s="39"/>
      <c r="Q137" s="39"/>
      <c r="R137" s="39"/>
      <c r="S137" s="6"/>
      <c r="T137" s="7">
        <v>4</v>
      </c>
      <c r="U137" s="39" t="s">
        <v>741</v>
      </c>
      <c r="V137" s="53" t="s">
        <v>421</v>
      </c>
      <c r="W137" s="23"/>
      <c r="X137" s="6">
        <v>13</v>
      </c>
      <c r="Y137" s="6">
        <f t="shared" si="11"/>
        <v>26</v>
      </c>
      <c r="Z137" s="6"/>
      <c r="AA137" s="39" t="s">
        <v>432</v>
      </c>
      <c r="AB137" s="39" t="s">
        <v>604</v>
      </c>
      <c r="AC137" s="39" t="s">
        <v>602</v>
      </c>
      <c r="AD137" s="39" t="s">
        <v>496</v>
      </c>
      <c r="AE137" s="39">
        <f>IF(AB137="승용차", INDEX('연료 자료'!$C$6:$F$11, MATCH(AD137,'연료 자료'!$B$6:$B$11, 0), MATCH(AC137,'연료 자료'!$C$5:$F$5, 0)), INDEX('연료 자료'!$G$6:$I$11, MATCH(AD137,'연료 자료'!$B$6:$B$11, 0), MATCH(AC137,'연료 자료'!$G$5:$I$5, 0)))</f>
        <v>7</v>
      </c>
      <c r="AF137" s="6">
        <f>VLOOKUP(AD137, 메모!$J$10:$L$19, 3, FALSE)</f>
        <v>2.2709999999999999</v>
      </c>
      <c r="AG137" s="50">
        <f t="shared" si="9"/>
        <v>4.2175714285714285</v>
      </c>
    </row>
    <row r="138" spans="1:33" ht="18.95" customHeight="1" x14ac:dyDescent="0.25">
      <c r="A138" s="6">
        <v>175</v>
      </c>
      <c r="B138" s="6" t="s">
        <v>121</v>
      </c>
      <c r="C138" s="6" t="s">
        <v>165</v>
      </c>
      <c r="D138" s="6" t="s">
        <v>185</v>
      </c>
      <c r="E138" s="6" t="s">
        <v>193</v>
      </c>
      <c r="F138" s="6" t="s">
        <v>196</v>
      </c>
      <c r="G138" s="6" t="s">
        <v>319</v>
      </c>
      <c r="H138" s="55"/>
      <c r="I138" s="55"/>
      <c r="J138" s="55"/>
      <c r="K138" s="39" t="s">
        <v>385</v>
      </c>
      <c r="L138" s="6" t="b">
        <v>0</v>
      </c>
      <c r="M138" s="6" t="b">
        <v>0</v>
      </c>
      <c r="N138" s="6" t="s">
        <v>358</v>
      </c>
      <c r="O138" s="39"/>
      <c r="P138" s="39"/>
      <c r="Q138" s="39"/>
      <c r="R138" s="39"/>
      <c r="S138" s="6"/>
      <c r="T138" s="7">
        <v>4</v>
      </c>
      <c r="U138" s="39" t="s">
        <v>741</v>
      </c>
      <c r="V138" s="53" t="s">
        <v>421</v>
      </c>
      <c r="W138" s="23"/>
      <c r="X138" s="6">
        <v>13</v>
      </c>
      <c r="Y138" s="6">
        <f t="shared" si="11"/>
        <v>26</v>
      </c>
      <c r="Z138" s="6"/>
      <c r="AA138" s="39" t="s">
        <v>445</v>
      </c>
      <c r="AB138" s="39" t="s">
        <v>604</v>
      </c>
      <c r="AC138" s="39" t="s">
        <v>601</v>
      </c>
      <c r="AD138" s="39" t="s">
        <v>499</v>
      </c>
      <c r="AE138" s="39">
        <f>IF(AB138="승용차", INDEX('연료 자료'!$C$6:$F$11, MATCH(AD138,'연료 자료'!$B$6:$B$11, 0), MATCH(AC138,'연료 자료'!$C$5:$F$5, 0)), INDEX('연료 자료'!$G$6:$I$11, MATCH(AD138,'연료 자료'!$B$6:$B$11, 0), MATCH(AC138,'연료 자료'!$G$5:$I$5, 0)))</f>
        <v>13</v>
      </c>
      <c r="AF138" s="6">
        <f>VLOOKUP(AD138, 메모!$J$10:$L$19, 3, FALSE)</f>
        <v>2.6139999999999999</v>
      </c>
      <c r="AG138" s="50">
        <f t="shared" si="9"/>
        <v>2.6139999999999999</v>
      </c>
    </row>
    <row r="139" spans="1:33" ht="18.95" customHeight="1" x14ac:dyDescent="0.25">
      <c r="A139" s="6">
        <v>196</v>
      </c>
      <c r="B139" s="6" t="s">
        <v>131</v>
      </c>
      <c r="C139" s="6" t="s">
        <v>171</v>
      </c>
      <c r="D139" s="6" t="s">
        <v>185</v>
      </c>
      <c r="E139" s="6" t="s">
        <v>193</v>
      </c>
      <c r="F139" s="6" t="s">
        <v>196</v>
      </c>
      <c r="G139" s="6" t="s">
        <v>329</v>
      </c>
      <c r="H139" s="55"/>
      <c r="I139" s="55"/>
      <c r="J139" s="55"/>
      <c r="K139" s="39" t="s">
        <v>385</v>
      </c>
      <c r="L139" s="6" t="b">
        <v>0</v>
      </c>
      <c r="M139" s="6" t="b">
        <v>0</v>
      </c>
      <c r="N139" s="6" t="s">
        <v>358</v>
      </c>
      <c r="O139" s="39"/>
      <c r="P139" s="39"/>
      <c r="Q139" s="39"/>
      <c r="R139" s="39"/>
      <c r="S139" s="6"/>
      <c r="T139" s="7">
        <v>4</v>
      </c>
      <c r="U139" s="39" t="s">
        <v>741</v>
      </c>
      <c r="V139" s="53" t="s">
        <v>421</v>
      </c>
      <c r="W139" s="23"/>
      <c r="X139" s="6">
        <v>13</v>
      </c>
      <c r="Y139" s="6">
        <f>X139*2</f>
        <v>26</v>
      </c>
      <c r="Z139" s="6"/>
      <c r="AA139" s="39" t="s">
        <v>444</v>
      </c>
      <c r="AB139" s="39" t="s">
        <v>604</v>
      </c>
      <c r="AC139" s="39" t="s">
        <v>601</v>
      </c>
      <c r="AD139" s="39" t="s">
        <v>499</v>
      </c>
      <c r="AE139" s="39">
        <f>IF(AB139="승용차", INDEX('연료 자료'!$C$6:$F$11, MATCH(AD139,'연료 자료'!$B$6:$B$11, 0), MATCH(AC139,'연료 자료'!$C$5:$F$5, 0)), INDEX('연료 자료'!$G$6:$I$11, MATCH(AD139,'연료 자료'!$B$6:$B$11, 0), MATCH(AC139,'연료 자료'!$G$5:$I$5, 0)))</f>
        <v>13</v>
      </c>
      <c r="AF139" s="6">
        <f>VLOOKUP(AD139, 메모!$J$10:$L$19, 3, FALSE)</f>
        <v>2.6139999999999999</v>
      </c>
      <c r="AG139" s="50">
        <f t="shared" si="9"/>
        <v>2.6139999999999999</v>
      </c>
    </row>
    <row r="140" spans="1:33" ht="18.95" customHeight="1" x14ac:dyDescent="0.25">
      <c r="A140" s="6">
        <v>197</v>
      </c>
      <c r="B140" s="6" t="s">
        <v>132</v>
      </c>
      <c r="C140" s="6" t="s">
        <v>171</v>
      </c>
      <c r="D140" s="6" t="s">
        <v>185</v>
      </c>
      <c r="E140" s="6" t="s">
        <v>193</v>
      </c>
      <c r="F140" s="6" t="s">
        <v>196</v>
      </c>
      <c r="G140" s="6" t="s">
        <v>330</v>
      </c>
      <c r="H140" s="55"/>
      <c r="I140" s="55"/>
      <c r="J140" s="55"/>
      <c r="K140" s="39" t="s">
        <v>403</v>
      </c>
      <c r="L140" s="6" t="b">
        <v>0</v>
      </c>
      <c r="M140" s="6" t="b">
        <v>0</v>
      </c>
      <c r="N140" s="6" t="s">
        <v>358</v>
      </c>
      <c r="O140" s="39"/>
      <c r="P140" s="39"/>
      <c r="Q140" s="39"/>
      <c r="R140" s="39"/>
      <c r="S140" s="6"/>
      <c r="T140" s="7">
        <v>4</v>
      </c>
      <c r="U140" s="39" t="s">
        <v>733</v>
      </c>
      <c r="V140" s="53" t="s">
        <v>754</v>
      </c>
      <c r="W140" s="6"/>
      <c r="X140" s="6">
        <v>8.3000000000000007</v>
      </c>
      <c r="Y140" s="6">
        <f>X140*2</f>
        <v>16.600000000000001</v>
      </c>
      <c r="Z140" s="6"/>
      <c r="AA140" s="7" t="s">
        <v>442</v>
      </c>
      <c r="AB140" s="39" t="s">
        <v>604</v>
      </c>
      <c r="AC140" s="39" t="s">
        <v>601</v>
      </c>
      <c r="AD140" s="39" t="s">
        <v>496</v>
      </c>
      <c r="AE140" s="6">
        <f>IF(AB140="승용차", INDEX('연료 자료'!$C$6:$F$11, MATCH(AD140,'연료 자료'!$B$6:$B$11, 0), MATCH(AC140,'연료 자료'!$C$5:$F$5, 0)), INDEX('연료 자료'!$G$6:$I$11, MATCH(AD140,'연료 자료'!$B$6:$B$11, 0), MATCH(AC140,'연료 자료'!$G$5:$I$5, 0)))</f>
        <v>10</v>
      </c>
      <c r="AF140" s="6">
        <f>VLOOKUP(AD140, 메모!$J$10:$L$19, 3, FALSE)</f>
        <v>2.2709999999999999</v>
      </c>
      <c r="AG140" s="50">
        <f t="shared" si="9"/>
        <v>1.88493</v>
      </c>
    </row>
    <row r="141" spans="1:33" ht="18.95" customHeight="1" x14ac:dyDescent="0.25">
      <c r="A141" s="6">
        <v>147</v>
      </c>
      <c r="B141" s="6" t="s">
        <v>106</v>
      </c>
      <c r="C141" s="6" t="s">
        <v>164</v>
      </c>
      <c r="D141" s="6" t="s">
        <v>186</v>
      </c>
      <c r="E141" s="6" t="s">
        <v>193</v>
      </c>
      <c r="F141" s="6" t="s">
        <v>196</v>
      </c>
      <c r="G141" s="6" t="s">
        <v>304</v>
      </c>
      <c r="H141" s="55"/>
      <c r="I141" s="55"/>
      <c r="J141" s="55"/>
      <c r="K141" s="39" t="s">
        <v>409</v>
      </c>
      <c r="L141" s="6" t="b">
        <v>0</v>
      </c>
      <c r="M141" s="6" t="b">
        <v>0</v>
      </c>
      <c r="N141" s="6" t="s">
        <v>358</v>
      </c>
      <c r="O141" s="39"/>
      <c r="P141" s="39"/>
      <c r="Q141" s="39"/>
      <c r="R141" s="39"/>
      <c r="S141" s="6"/>
      <c r="T141" s="7">
        <v>4</v>
      </c>
      <c r="U141" s="39" t="s">
        <v>733</v>
      </c>
      <c r="V141" s="53" t="s">
        <v>422</v>
      </c>
      <c r="W141" s="23"/>
      <c r="X141" s="6">
        <v>367</v>
      </c>
      <c r="Y141" s="6">
        <f t="shared" ref="Y141:Y168" si="12">X141*2</f>
        <v>734</v>
      </c>
      <c r="Z141" s="6"/>
      <c r="AA141" s="39" t="s">
        <v>482</v>
      </c>
      <c r="AB141" s="39" t="s">
        <v>604</v>
      </c>
      <c r="AC141" s="39" t="s">
        <v>601</v>
      </c>
      <c r="AD141" s="39" t="s">
        <v>496</v>
      </c>
      <c r="AE141" s="39">
        <f>IF(AB141="승용차", INDEX('연료 자료'!$C$6:$F$11, MATCH(AD141,'연료 자료'!$B$6:$B$11, 0), MATCH(AC141,'연료 자료'!$C$5:$F$5, 0)), INDEX('연료 자료'!$G$6:$I$11, MATCH(AD141,'연료 자료'!$B$6:$B$11, 0), MATCH(AC141,'연료 자료'!$G$5:$I$5, 0)))</f>
        <v>10</v>
      </c>
      <c r="AF141" s="6">
        <f>VLOOKUP(AD141, 메모!$J$10:$L$19, 3, FALSE)</f>
        <v>2.2709999999999999</v>
      </c>
      <c r="AG141" s="50">
        <f t="shared" si="9"/>
        <v>83.345700000000008</v>
      </c>
    </row>
    <row r="142" spans="1:33" ht="18.95" customHeight="1" x14ac:dyDescent="0.25">
      <c r="A142" s="6">
        <v>148</v>
      </c>
      <c r="B142" s="6" t="s">
        <v>107</v>
      </c>
      <c r="C142" s="6" t="s">
        <v>164</v>
      </c>
      <c r="D142" s="6" t="s">
        <v>186</v>
      </c>
      <c r="E142" s="6" t="s">
        <v>193</v>
      </c>
      <c r="F142" s="6" t="s">
        <v>196</v>
      </c>
      <c r="G142" s="6" t="s">
        <v>305</v>
      </c>
      <c r="H142" s="55"/>
      <c r="I142" s="55"/>
      <c r="J142" s="55"/>
      <c r="K142" s="39" t="s">
        <v>388</v>
      </c>
      <c r="L142" s="6" t="b">
        <v>0</v>
      </c>
      <c r="M142" s="6" t="b">
        <v>0</v>
      </c>
      <c r="N142" s="6" t="s">
        <v>358</v>
      </c>
      <c r="O142" s="39"/>
      <c r="P142" s="39"/>
      <c r="Q142" s="39"/>
      <c r="R142" s="39"/>
      <c r="S142" s="6"/>
      <c r="T142" s="7">
        <v>4</v>
      </c>
      <c r="U142" s="39" t="s">
        <v>733</v>
      </c>
      <c r="V142" s="53" t="s">
        <v>423</v>
      </c>
      <c r="W142" s="23"/>
      <c r="X142" s="6">
        <v>398</v>
      </c>
      <c r="Y142" s="6">
        <f t="shared" si="12"/>
        <v>796</v>
      </c>
      <c r="Z142" s="6"/>
      <c r="AA142" s="39" t="s">
        <v>483</v>
      </c>
      <c r="AB142" s="39" t="s">
        <v>604</v>
      </c>
      <c r="AC142" s="39" t="s">
        <v>602</v>
      </c>
      <c r="AD142" s="39" t="s">
        <v>496</v>
      </c>
      <c r="AE142" s="39">
        <f>IF(AB142="승용차", INDEX('연료 자료'!$C$6:$F$11, MATCH(AD142,'연료 자료'!$B$6:$B$11, 0), MATCH(AC142,'연료 자료'!$C$5:$F$5, 0)), INDEX('연료 자료'!$G$6:$I$11, MATCH(AD142,'연료 자료'!$B$6:$B$11, 0), MATCH(AC142,'연료 자료'!$G$5:$I$5, 0)))</f>
        <v>7</v>
      </c>
      <c r="AF142" s="6">
        <f>VLOOKUP(AD142, 메모!$J$10:$L$19, 3, FALSE)</f>
        <v>2.2709999999999999</v>
      </c>
      <c r="AG142" s="50">
        <f t="shared" si="9"/>
        <v>129.1225714285714</v>
      </c>
    </row>
    <row r="143" spans="1:33" ht="18.95" customHeight="1" x14ac:dyDescent="0.25">
      <c r="A143" s="6">
        <v>149</v>
      </c>
      <c r="B143" s="6" t="s">
        <v>108</v>
      </c>
      <c r="C143" s="6" t="s">
        <v>164</v>
      </c>
      <c r="D143" s="6" t="s">
        <v>186</v>
      </c>
      <c r="E143" s="6" t="s">
        <v>193</v>
      </c>
      <c r="F143" s="6" t="s">
        <v>196</v>
      </c>
      <c r="G143" s="6" t="s">
        <v>306</v>
      </c>
      <c r="H143" s="55"/>
      <c r="I143" s="55"/>
      <c r="J143" s="55"/>
      <c r="K143" s="39" t="s">
        <v>389</v>
      </c>
      <c r="L143" s="6" t="b">
        <v>0</v>
      </c>
      <c r="M143" s="6" t="b">
        <v>0</v>
      </c>
      <c r="N143" s="6" t="s">
        <v>358</v>
      </c>
      <c r="O143" s="39"/>
      <c r="P143" s="39"/>
      <c r="Q143" s="39"/>
      <c r="R143" s="39"/>
      <c r="S143" s="6"/>
      <c r="T143" s="7">
        <v>4</v>
      </c>
      <c r="U143" s="39" t="s">
        <v>733</v>
      </c>
      <c r="V143" s="53" t="s">
        <v>755</v>
      </c>
      <c r="W143" s="23"/>
      <c r="X143" s="6">
        <v>1.9</v>
      </c>
      <c r="Y143" s="6">
        <f t="shared" si="12"/>
        <v>3.8</v>
      </c>
      <c r="Z143" s="6"/>
      <c r="AA143" s="39" t="s">
        <v>498</v>
      </c>
      <c r="AB143" s="39" t="s">
        <v>604</v>
      </c>
      <c r="AC143" s="39" t="s">
        <v>601</v>
      </c>
      <c r="AD143" s="39" t="s">
        <v>499</v>
      </c>
      <c r="AE143" s="6">
        <f>IF(AB143="승용차", INDEX('연료 자료'!$C$6:$F$11, MATCH(AD143,'연료 자료'!$B$6:$B$11, 0), MATCH(AC143,'연료 자료'!$C$5:$F$5, 0)), INDEX('연료 자료'!$G$6:$I$11, MATCH(AD143,'연료 자료'!$B$6:$B$11, 0), MATCH(AC143,'연료 자료'!$G$5:$I$5, 0)))</f>
        <v>13</v>
      </c>
      <c r="AF143" s="6">
        <f>VLOOKUP(AD143, 메모!$J$10:$L$19, 3, FALSE)</f>
        <v>2.6139999999999999</v>
      </c>
      <c r="AG143" s="50">
        <f t="shared" si="9"/>
        <v>0.38204615384615376</v>
      </c>
    </row>
    <row r="144" spans="1:33" ht="18.95" customHeight="1" x14ac:dyDescent="0.25">
      <c r="A144" s="6">
        <v>150</v>
      </c>
      <c r="B144" s="6" t="s">
        <v>109</v>
      </c>
      <c r="C144" s="6" t="s">
        <v>164</v>
      </c>
      <c r="D144" s="6" t="s">
        <v>186</v>
      </c>
      <c r="E144" s="6" t="s">
        <v>193</v>
      </c>
      <c r="F144" s="6" t="s">
        <v>196</v>
      </c>
      <c r="G144" s="6" t="s">
        <v>307</v>
      </c>
      <c r="H144" s="55"/>
      <c r="I144" s="55"/>
      <c r="J144" s="55"/>
      <c r="K144" s="39" t="s">
        <v>386</v>
      </c>
      <c r="L144" s="6" t="b">
        <v>0</v>
      </c>
      <c r="M144" s="6" t="b">
        <v>0</v>
      </c>
      <c r="N144" s="6" t="s">
        <v>358</v>
      </c>
      <c r="O144" s="39"/>
      <c r="P144" s="39"/>
      <c r="Q144" s="39"/>
      <c r="R144" s="39"/>
      <c r="S144" s="6"/>
      <c r="T144" s="7">
        <v>4</v>
      </c>
      <c r="U144" s="39" t="s">
        <v>733</v>
      </c>
      <c r="V144" s="53" t="s">
        <v>424</v>
      </c>
      <c r="W144" s="23"/>
      <c r="X144" s="6">
        <v>8.6</v>
      </c>
      <c r="Y144" s="6">
        <f t="shared" si="12"/>
        <v>17.2</v>
      </c>
      <c r="Z144" s="6"/>
      <c r="AA144" s="39" t="s">
        <v>439</v>
      </c>
      <c r="AB144" s="39" t="s">
        <v>604</v>
      </c>
      <c r="AC144" s="39" t="s">
        <v>599</v>
      </c>
      <c r="AD144" s="39" t="s">
        <v>496</v>
      </c>
      <c r="AE144" s="39">
        <f>IF(AB144="승용차", INDEX('연료 자료'!$C$6:$F$11, MATCH(AD144,'연료 자료'!$B$6:$B$11, 0), MATCH(AC144,'연료 자료'!$C$5:$F$5, 0)), INDEX('연료 자료'!$G$6:$I$11, MATCH(AD144,'연료 자료'!$B$6:$B$11, 0), MATCH(AC144,'연료 자료'!$G$5:$I$5, 0)))</f>
        <v>14</v>
      </c>
      <c r="AF144" s="6">
        <f>VLOOKUP(AD144, 메모!$J$10:$L$19, 3, FALSE)</f>
        <v>2.2709999999999999</v>
      </c>
      <c r="AG144" s="50">
        <f t="shared" si="9"/>
        <v>1.395042857142857</v>
      </c>
    </row>
    <row r="145" spans="1:33" ht="18.95" customHeight="1" x14ac:dyDescent="0.25">
      <c r="A145" s="6">
        <v>151</v>
      </c>
      <c r="B145" s="6" t="s">
        <v>110</v>
      </c>
      <c r="C145" s="6" t="s">
        <v>164</v>
      </c>
      <c r="D145" s="6" t="s">
        <v>186</v>
      </c>
      <c r="E145" s="6" t="s">
        <v>193</v>
      </c>
      <c r="F145" s="6" t="s">
        <v>196</v>
      </c>
      <c r="G145" s="6" t="s">
        <v>308</v>
      </c>
      <c r="H145" s="55"/>
      <c r="I145" s="55"/>
      <c r="J145" s="55"/>
      <c r="K145" s="39" t="s">
        <v>387</v>
      </c>
      <c r="L145" s="6" t="b">
        <v>0</v>
      </c>
      <c r="M145" s="6" t="b">
        <v>0</v>
      </c>
      <c r="N145" s="6" t="s">
        <v>358</v>
      </c>
      <c r="O145" s="39"/>
      <c r="P145" s="39"/>
      <c r="Q145" s="39"/>
      <c r="R145" s="39"/>
      <c r="S145" s="6"/>
      <c r="T145" s="7">
        <v>4</v>
      </c>
      <c r="U145" s="39" t="s">
        <v>733</v>
      </c>
      <c r="V145" s="53" t="s">
        <v>425</v>
      </c>
      <c r="W145" s="23"/>
      <c r="X145" s="6">
        <v>62</v>
      </c>
      <c r="Y145" s="6">
        <f t="shared" si="12"/>
        <v>124</v>
      </c>
      <c r="Z145" s="6"/>
      <c r="AA145" s="39" t="s">
        <v>437</v>
      </c>
      <c r="AB145" s="39" t="s">
        <v>604</v>
      </c>
      <c r="AC145" s="39" t="s">
        <v>601</v>
      </c>
      <c r="AD145" s="39" t="s">
        <v>496</v>
      </c>
      <c r="AE145" s="39">
        <f>IF(AB145="승용차", INDEX('연료 자료'!$C$6:$F$11, MATCH(AD145,'연료 자료'!$B$6:$B$11, 0), MATCH(AC145,'연료 자료'!$C$5:$F$5, 0)), INDEX('연료 자료'!$G$6:$I$11, MATCH(AD145,'연료 자료'!$B$6:$B$11, 0), MATCH(AC145,'연료 자료'!$G$5:$I$5, 0)))</f>
        <v>10</v>
      </c>
      <c r="AF145" s="6">
        <f>VLOOKUP(AD145, 메모!$J$10:$L$19, 3, FALSE)</f>
        <v>2.2709999999999999</v>
      </c>
      <c r="AG145" s="50">
        <f t="shared" si="9"/>
        <v>14.0802</v>
      </c>
    </row>
    <row r="146" spans="1:33" ht="18.95" customHeight="1" x14ac:dyDescent="0.25">
      <c r="A146" s="6">
        <v>152</v>
      </c>
      <c r="B146" s="6" t="s">
        <v>111</v>
      </c>
      <c r="C146" s="6" t="s">
        <v>164</v>
      </c>
      <c r="D146" s="6" t="s">
        <v>186</v>
      </c>
      <c r="E146" s="6" t="s">
        <v>193</v>
      </c>
      <c r="F146" s="6" t="s">
        <v>196</v>
      </c>
      <c r="G146" s="6" t="s">
        <v>309</v>
      </c>
      <c r="H146" s="55"/>
      <c r="I146" s="55"/>
      <c r="J146" s="55"/>
      <c r="K146" s="39" t="s">
        <v>387</v>
      </c>
      <c r="L146" s="6" t="b">
        <v>0</v>
      </c>
      <c r="M146" s="6" t="b">
        <v>0</v>
      </c>
      <c r="N146" s="6" t="s">
        <v>358</v>
      </c>
      <c r="O146" s="39"/>
      <c r="P146" s="39"/>
      <c r="Q146" s="39"/>
      <c r="R146" s="39"/>
      <c r="S146" s="6"/>
      <c r="T146" s="7">
        <v>4</v>
      </c>
      <c r="U146" s="39" t="s">
        <v>733</v>
      </c>
      <c r="V146" s="53" t="s">
        <v>425</v>
      </c>
      <c r="W146" s="23"/>
      <c r="X146" s="6">
        <v>62</v>
      </c>
      <c r="Y146" s="6">
        <f t="shared" si="12"/>
        <v>124</v>
      </c>
      <c r="Z146" s="6"/>
      <c r="AA146" s="39" t="s">
        <v>484</v>
      </c>
      <c r="AB146" s="39" t="s">
        <v>604</v>
      </c>
      <c r="AC146" s="39" t="s">
        <v>602</v>
      </c>
      <c r="AD146" s="39" t="s">
        <v>501</v>
      </c>
      <c r="AE146" s="39">
        <f>IF(AB146="승용차", INDEX('연료 자료'!$C$6:$F$11, MATCH(AD146,'연료 자료'!$B$6:$B$11, 0), MATCH(AC146,'연료 자료'!$C$5:$F$5, 0)), INDEX('연료 자료'!$G$6:$I$11, MATCH(AD146,'연료 자료'!$B$6:$B$11, 0), MATCH(AC146,'연료 자료'!$G$5:$I$5, 0)))</f>
        <v>15</v>
      </c>
      <c r="AF146" s="6">
        <f>VLOOKUP(AD146, 메모!$J$10:$L$19, 3, FALSE)</f>
        <v>2.2709999999999999</v>
      </c>
      <c r="AG146" s="50">
        <f t="shared" si="9"/>
        <v>9.3868000000000009</v>
      </c>
    </row>
    <row r="147" spans="1:33" ht="18.95" customHeight="1" x14ac:dyDescent="0.25">
      <c r="A147" s="6">
        <v>153</v>
      </c>
      <c r="B147" s="6" t="s">
        <v>112</v>
      </c>
      <c r="C147" s="6" t="s">
        <v>164</v>
      </c>
      <c r="D147" s="6" t="s">
        <v>186</v>
      </c>
      <c r="E147" s="6" t="s">
        <v>193</v>
      </c>
      <c r="F147" s="6" t="s">
        <v>196</v>
      </c>
      <c r="G147" s="6" t="s">
        <v>310</v>
      </c>
      <c r="H147" s="55"/>
      <c r="I147" s="55"/>
      <c r="J147" s="55"/>
      <c r="K147" s="39" t="s">
        <v>387</v>
      </c>
      <c r="L147" s="6" t="b">
        <v>0</v>
      </c>
      <c r="M147" s="6" t="b">
        <v>0</v>
      </c>
      <c r="N147" s="6" t="s">
        <v>358</v>
      </c>
      <c r="O147" s="39"/>
      <c r="P147" s="39"/>
      <c r="Q147" s="39"/>
      <c r="R147" s="39"/>
      <c r="S147" s="6"/>
      <c r="T147" s="7">
        <v>4</v>
      </c>
      <c r="U147" s="39" t="s">
        <v>733</v>
      </c>
      <c r="V147" s="53" t="s">
        <v>425</v>
      </c>
      <c r="W147" s="23"/>
      <c r="X147" s="6">
        <v>62</v>
      </c>
      <c r="Y147" s="6">
        <f t="shared" si="12"/>
        <v>124</v>
      </c>
      <c r="Z147" s="6"/>
      <c r="AA147" s="39" t="s">
        <v>485</v>
      </c>
      <c r="AB147" s="39" t="s">
        <v>604</v>
      </c>
      <c r="AC147" s="39" t="s">
        <v>602</v>
      </c>
      <c r="AD147" s="39" t="s">
        <v>496</v>
      </c>
      <c r="AE147" s="39">
        <f>IF(AB147="승용차", INDEX('연료 자료'!$C$6:$F$11, MATCH(AD147,'연료 자료'!$B$6:$B$11, 0), MATCH(AC147,'연료 자료'!$C$5:$F$5, 0)), INDEX('연료 자료'!$G$6:$I$11, MATCH(AD147,'연료 자료'!$B$6:$B$11, 0), MATCH(AC147,'연료 자료'!$G$5:$I$5, 0)))</f>
        <v>7</v>
      </c>
      <c r="AF147" s="6">
        <f>VLOOKUP(AD147, 메모!$J$10:$L$19, 3, FALSE)</f>
        <v>2.2709999999999999</v>
      </c>
      <c r="AG147" s="50">
        <f t="shared" si="9"/>
        <v>20.114571428571431</v>
      </c>
    </row>
    <row r="148" spans="1:33" ht="18.95" customHeight="1" x14ac:dyDescent="0.25">
      <c r="A148" s="6">
        <v>138</v>
      </c>
      <c r="B148" s="6" t="s">
        <v>104</v>
      </c>
      <c r="C148" s="6" t="s">
        <v>163</v>
      </c>
      <c r="D148" s="6" t="s">
        <v>185</v>
      </c>
      <c r="E148" s="6" t="s">
        <v>193</v>
      </c>
      <c r="F148" s="6" t="s">
        <v>196</v>
      </c>
      <c r="G148" s="6" t="s">
        <v>302</v>
      </c>
      <c r="H148" s="55"/>
      <c r="I148" s="55"/>
      <c r="J148" s="55"/>
      <c r="K148" s="39" t="s">
        <v>403</v>
      </c>
      <c r="L148" s="6" t="b">
        <v>0</v>
      </c>
      <c r="M148" s="6" t="b">
        <v>0</v>
      </c>
      <c r="N148" s="6" t="s">
        <v>358</v>
      </c>
      <c r="O148" s="6"/>
      <c r="P148" s="6"/>
      <c r="Q148" s="6"/>
      <c r="R148" s="6"/>
      <c r="S148" s="6"/>
      <c r="T148" s="7">
        <v>4</v>
      </c>
      <c r="U148" s="39" t="s">
        <v>733</v>
      </c>
      <c r="V148" s="53" t="s">
        <v>754</v>
      </c>
      <c r="W148" s="6"/>
      <c r="X148" s="6">
        <v>8.3000000000000007</v>
      </c>
      <c r="Y148" s="6">
        <f t="shared" si="12"/>
        <v>16.600000000000001</v>
      </c>
      <c r="Z148" s="6"/>
      <c r="AA148" s="39" t="s">
        <v>712</v>
      </c>
      <c r="AB148" s="39" t="s">
        <v>604</v>
      </c>
      <c r="AC148" s="39" t="s">
        <v>602</v>
      </c>
      <c r="AD148" s="39" t="s">
        <v>501</v>
      </c>
      <c r="AE148" s="6">
        <f>IF(AB148="승용차", INDEX('연료 자료'!$C$6:$F$11, MATCH(AD148,'연료 자료'!$B$6:$B$11, 0), MATCH(AC148,'연료 자료'!$C$5:$F$5, 0)), INDEX('연료 자료'!$G$6:$I$11, MATCH(AD148,'연료 자료'!$B$6:$B$11, 0), MATCH(AC148,'연료 자료'!$G$5:$I$5, 0)))</f>
        <v>15</v>
      </c>
      <c r="AF148" s="6">
        <f>VLOOKUP(AD148, 메모!$J$10:$L$19, 3, FALSE)</f>
        <v>2.2709999999999999</v>
      </c>
      <c r="AG148" s="50">
        <f t="shared" si="9"/>
        <v>1.2566200000000001</v>
      </c>
    </row>
    <row r="149" spans="1:33" ht="18.95" customHeight="1" x14ac:dyDescent="0.25">
      <c r="A149" s="6">
        <v>170</v>
      </c>
      <c r="B149" s="6" t="s">
        <v>118</v>
      </c>
      <c r="C149" s="6" t="s">
        <v>166</v>
      </c>
      <c r="D149" s="6" t="s">
        <v>187</v>
      </c>
      <c r="E149" s="6" t="s">
        <v>193</v>
      </c>
      <c r="F149" s="6" t="s">
        <v>196</v>
      </c>
      <c r="G149" s="6" t="s">
        <v>316</v>
      </c>
      <c r="H149" s="55"/>
      <c r="I149" s="55"/>
      <c r="J149" s="55"/>
      <c r="K149" s="39" t="s">
        <v>403</v>
      </c>
      <c r="L149" s="6" t="b">
        <v>0</v>
      </c>
      <c r="M149" s="6" t="b">
        <v>0</v>
      </c>
      <c r="N149" s="6" t="s">
        <v>358</v>
      </c>
      <c r="O149" s="6"/>
      <c r="P149" s="6"/>
      <c r="Q149" s="6"/>
      <c r="R149" s="6"/>
      <c r="S149" s="6"/>
      <c r="T149" s="7">
        <v>4</v>
      </c>
      <c r="U149" s="39" t="s">
        <v>733</v>
      </c>
      <c r="V149" s="53" t="s">
        <v>754</v>
      </c>
      <c r="W149" s="6"/>
      <c r="X149" s="6">
        <v>8.3000000000000007</v>
      </c>
      <c r="Y149" s="6">
        <f t="shared" si="12"/>
        <v>16.600000000000001</v>
      </c>
      <c r="Z149" s="6"/>
      <c r="AA149" s="39" t="s">
        <v>714</v>
      </c>
      <c r="AB149" s="39" t="s">
        <v>604</v>
      </c>
      <c r="AC149" s="39" t="s">
        <v>602</v>
      </c>
      <c r="AD149" s="39" t="s">
        <v>496</v>
      </c>
      <c r="AE149" s="6">
        <f>IF(AB149="승용차", INDEX('연료 자료'!$C$6:$F$11, MATCH(AD149,'연료 자료'!$B$6:$B$11, 0), MATCH(AC149,'연료 자료'!$C$5:$F$5, 0)), INDEX('연료 자료'!$G$6:$I$11, MATCH(AD149,'연료 자료'!$B$6:$B$11, 0), MATCH(AC149,'연료 자료'!$G$5:$I$5, 0)))</f>
        <v>7</v>
      </c>
      <c r="AF149" s="6">
        <f>VLOOKUP(AD149, 메모!$J$10:$L$19, 3, FALSE)</f>
        <v>2.2709999999999999</v>
      </c>
      <c r="AG149" s="50">
        <f t="shared" si="9"/>
        <v>2.6927571428571428</v>
      </c>
    </row>
    <row r="150" spans="1:33" ht="18.95" customHeight="1" x14ac:dyDescent="0.25">
      <c r="A150" s="6">
        <v>220</v>
      </c>
      <c r="B150" s="6" t="s">
        <v>141</v>
      </c>
      <c r="C150" s="6" t="s">
        <v>176</v>
      </c>
      <c r="D150" s="6" t="s">
        <v>186</v>
      </c>
      <c r="E150" s="6" t="s">
        <v>193</v>
      </c>
      <c r="F150" s="6" t="s">
        <v>196</v>
      </c>
      <c r="G150" s="6" t="s">
        <v>340</v>
      </c>
      <c r="H150" s="55"/>
      <c r="I150" s="55"/>
      <c r="J150" s="55"/>
      <c r="K150" s="39" t="s">
        <v>387</v>
      </c>
      <c r="L150" s="6" t="b">
        <v>0</v>
      </c>
      <c r="M150" s="6" t="b">
        <v>0</v>
      </c>
      <c r="N150" s="6" t="s">
        <v>358</v>
      </c>
      <c r="O150" s="6"/>
      <c r="P150" s="6"/>
      <c r="Q150" s="6"/>
      <c r="R150" s="6"/>
      <c r="S150" s="6"/>
      <c r="T150" s="7">
        <v>4</v>
      </c>
      <c r="U150" s="39" t="s">
        <v>733</v>
      </c>
      <c r="V150" s="53" t="s">
        <v>757</v>
      </c>
      <c r="W150" s="6"/>
      <c r="X150" s="6">
        <v>8.3000000000000007</v>
      </c>
      <c r="Y150" s="6">
        <f t="shared" si="12"/>
        <v>16.600000000000001</v>
      </c>
      <c r="Z150" s="6"/>
      <c r="AA150" s="39" t="s">
        <v>477</v>
      </c>
      <c r="AB150" s="39" t="s">
        <v>604</v>
      </c>
      <c r="AC150" s="39" t="s">
        <v>601</v>
      </c>
      <c r="AD150" s="39" t="s">
        <v>501</v>
      </c>
      <c r="AE150" s="6">
        <f>IF(AB150="승용차", INDEX('연료 자료'!$C$6:$F$11, MATCH(AD150,'연료 자료'!$B$6:$B$11, 0), MATCH(AC150,'연료 자료'!$C$5:$F$5, 0)), INDEX('연료 자료'!$G$6:$I$11, MATCH(AD150,'연료 자료'!$B$6:$B$11, 0), MATCH(AC150,'연료 자료'!$G$5:$I$5, 0)))</f>
        <v>15</v>
      </c>
      <c r="AF150" s="6">
        <f>VLOOKUP(AD150, 메모!$J$10:$L$19, 3, FALSE)</f>
        <v>2.2709999999999999</v>
      </c>
      <c r="AG150" s="50">
        <f t="shared" si="9"/>
        <v>1.2566200000000001</v>
      </c>
    </row>
    <row r="151" spans="1:33" ht="18.95" customHeight="1" x14ac:dyDescent="0.25">
      <c r="A151" s="6">
        <v>222</v>
      </c>
      <c r="B151" s="7" t="s">
        <v>720</v>
      </c>
      <c r="C151" s="6" t="s">
        <v>176</v>
      </c>
      <c r="D151" s="6" t="s">
        <v>185</v>
      </c>
      <c r="E151" s="6" t="s">
        <v>193</v>
      </c>
      <c r="F151" s="6" t="s">
        <v>196</v>
      </c>
      <c r="G151" s="6" t="s">
        <v>342</v>
      </c>
      <c r="H151" s="55"/>
      <c r="I151" s="55"/>
      <c r="J151" s="55"/>
      <c r="K151" s="39" t="s">
        <v>399</v>
      </c>
      <c r="L151" s="6" t="b">
        <v>0</v>
      </c>
      <c r="M151" s="6" t="b">
        <v>0</v>
      </c>
      <c r="N151" s="6" t="s">
        <v>358</v>
      </c>
      <c r="O151" s="39" t="s">
        <v>686</v>
      </c>
      <c r="P151" s="39"/>
      <c r="Q151" s="39"/>
      <c r="R151" s="39"/>
      <c r="S151" s="6"/>
      <c r="T151" s="7">
        <v>4</v>
      </c>
      <c r="U151" s="39" t="s">
        <v>733</v>
      </c>
      <c r="V151" s="53"/>
      <c r="W151" s="6"/>
      <c r="X151" s="6"/>
      <c r="Y151" s="6">
        <f t="shared" si="12"/>
        <v>0</v>
      </c>
      <c r="Z151" s="6"/>
      <c r="AA151" s="7" t="s">
        <v>724</v>
      </c>
      <c r="AB151" s="39" t="s">
        <v>604</v>
      </c>
      <c r="AC151" s="39" t="s">
        <v>601</v>
      </c>
      <c r="AD151" s="39" t="s">
        <v>499</v>
      </c>
      <c r="AE151" s="6">
        <f>IF(AB151="승용차", INDEX('연료 자료'!$C$6:$F$11, MATCH(AD151,'연료 자료'!$B$6:$B$11, 0), MATCH(AC151,'연료 자료'!$C$5:$F$5, 0)), INDEX('연료 자료'!$G$6:$I$11, MATCH(AD151,'연료 자료'!$B$6:$B$11, 0), MATCH(AC151,'연료 자료'!$G$5:$I$5, 0)))</f>
        <v>13</v>
      </c>
      <c r="AF151" s="6">
        <f>VLOOKUP(AD151, 메모!$J$10:$L$19, 3, FALSE)</f>
        <v>2.6139999999999999</v>
      </c>
      <c r="AG151" s="50">
        <f t="shared" si="9"/>
        <v>0</v>
      </c>
    </row>
    <row r="152" spans="1:33" ht="18.95" customHeight="1" x14ac:dyDescent="0.25">
      <c r="A152" s="6">
        <v>204</v>
      </c>
      <c r="B152" s="6" t="s">
        <v>133</v>
      </c>
      <c r="C152" s="6" t="s">
        <v>173</v>
      </c>
      <c r="D152" s="6" t="s">
        <v>188</v>
      </c>
      <c r="E152" s="6" t="s">
        <v>193</v>
      </c>
      <c r="F152" s="6" t="s">
        <v>196</v>
      </c>
      <c r="G152" s="6" t="s">
        <v>331</v>
      </c>
      <c r="H152" s="55"/>
      <c r="I152" s="55"/>
      <c r="J152" s="55"/>
      <c r="K152" s="39" t="s">
        <v>742</v>
      </c>
      <c r="L152" s="6" t="b">
        <v>0</v>
      </c>
      <c r="M152" s="6" t="b">
        <v>0</v>
      </c>
      <c r="N152" s="6" t="s">
        <v>358</v>
      </c>
      <c r="O152" s="6"/>
      <c r="P152" s="6"/>
      <c r="Q152" s="6"/>
      <c r="R152" s="6"/>
      <c r="S152" s="6"/>
      <c r="T152" s="7">
        <v>4</v>
      </c>
      <c r="U152" s="39" t="s">
        <v>733</v>
      </c>
      <c r="V152" s="53" t="s">
        <v>758</v>
      </c>
      <c r="W152" s="6"/>
      <c r="X152" s="6">
        <v>9.4</v>
      </c>
      <c r="Y152" s="6">
        <f t="shared" si="12"/>
        <v>18.8</v>
      </c>
      <c r="Z152" s="6"/>
      <c r="AA152" s="39" t="s">
        <v>461</v>
      </c>
      <c r="AB152" s="7" t="s">
        <v>502</v>
      </c>
      <c r="AC152" s="7" t="s">
        <v>502</v>
      </c>
      <c r="AD152" s="7" t="s">
        <v>502</v>
      </c>
      <c r="AE152" s="6" t="e">
        <f>IF(AB152="승용차", INDEX('연료 자료'!$C$6:$F$11, MATCH(AD152,'연료 자료'!$B$6:$B$11, 0), MATCH(AC152,'연료 자료'!$C$5:$F$5, 0)), INDEX('연료 자료'!$G$6:$I$11, MATCH(AD152,'연료 자료'!$B$6:$B$11, 0), MATCH(AC152,'연료 자료'!$G$5:$I$5, 0)))</f>
        <v>#N/A</v>
      </c>
      <c r="AF152" s="6" t="e">
        <f>VLOOKUP(AD152, 메모!$J$10:$L$19, 3, FALSE)</f>
        <v>#N/A</v>
      </c>
      <c r="AG152" s="50" t="e">
        <f t="shared" si="9"/>
        <v>#N/A</v>
      </c>
    </row>
    <row r="153" spans="1:33" ht="18.95" customHeight="1" x14ac:dyDescent="0.25">
      <c r="A153" s="6">
        <v>205</v>
      </c>
      <c r="B153" s="6" t="s">
        <v>134</v>
      </c>
      <c r="C153" s="6" t="s">
        <v>172</v>
      </c>
      <c r="D153" s="6" t="s">
        <v>188</v>
      </c>
      <c r="E153" s="6" t="s">
        <v>193</v>
      </c>
      <c r="F153" s="6" t="s">
        <v>196</v>
      </c>
      <c r="G153" s="6" t="s">
        <v>332</v>
      </c>
      <c r="H153" s="55"/>
      <c r="I153" s="55"/>
      <c r="J153" s="55"/>
      <c r="K153" s="39" t="s">
        <v>742</v>
      </c>
      <c r="L153" s="6" t="b">
        <v>0</v>
      </c>
      <c r="M153" s="6" t="b">
        <v>0</v>
      </c>
      <c r="N153" s="6" t="s">
        <v>358</v>
      </c>
      <c r="O153" s="6"/>
      <c r="P153" s="6"/>
      <c r="Q153" s="6"/>
      <c r="R153" s="6"/>
      <c r="S153" s="6"/>
      <c r="T153" s="7">
        <v>4</v>
      </c>
      <c r="U153" s="39" t="s">
        <v>733</v>
      </c>
      <c r="V153" s="53" t="s">
        <v>758</v>
      </c>
      <c r="W153" s="6"/>
      <c r="X153" s="6">
        <v>9.4</v>
      </c>
      <c r="Y153" s="6">
        <f t="shared" si="12"/>
        <v>18.8</v>
      </c>
      <c r="Z153" s="6"/>
      <c r="AA153" s="39" t="s">
        <v>461</v>
      </c>
      <c r="AB153" s="7" t="s">
        <v>502</v>
      </c>
      <c r="AC153" s="7" t="s">
        <v>502</v>
      </c>
      <c r="AD153" s="7" t="s">
        <v>502</v>
      </c>
      <c r="AE153" s="6" t="e">
        <f>IF(AB153="승용차", INDEX('연료 자료'!$C$6:$F$11, MATCH(AD153,'연료 자료'!$B$6:$B$11, 0), MATCH(AC153,'연료 자료'!$C$5:$F$5, 0)), INDEX('연료 자료'!$G$6:$I$11, MATCH(AD153,'연료 자료'!$B$6:$B$11, 0), MATCH(AC153,'연료 자료'!$G$5:$I$5, 0)))</f>
        <v>#N/A</v>
      </c>
      <c r="AF153" s="6" t="e">
        <f>VLOOKUP(AD153, 메모!$J$10:$L$19, 3, FALSE)</f>
        <v>#N/A</v>
      </c>
      <c r="AG153" s="50" t="e">
        <f t="shared" si="9"/>
        <v>#N/A</v>
      </c>
    </row>
    <row r="154" spans="1:33" ht="18.95" customHeight="1" x14ac:dyDescent="0.25">
      <c r="A154" s="6">
        <v>183</v>
      </c>
      <c r="B154" s="6" t="s">
        <v>125</v>
      </c>
      <c r="C154" s="6" t="s">
        <v>167</v>
      </c>
      <c r="D154" s="6" t="s">
        <v>185</v>
      </c>
      <c r="E154" s="6" t="s">
        <v>193</v>
      </c>
      <c r="F154" s="6" t="s">
        <v>196</v>
      </c>
      <c r="G154" s="6" t="s">
        <v>323</v>
      </c>
      <c r="H154" s="55"/>
      <c r="I154" s="55"/>
      <c r="J154" s="55"/>
      <c r="K154" s="6" t="s">
        <v>323</v>
      </c>
      <c r="L154" s="6" t="b">
        <v>0</v>
      </c>
      <c r="M154" s="6" t="b">
        <v>0</v>
      </c>
      <c r="N154" s="6" t="s">
        <v>358</v>
      </c>
      <c r="O154" s="6"/>
      <c r="P154" s="6"/>
      <c r="Q154" s="6"/>
      <c r="R154" s="6"/>
      <c r="S154" s="6"/>
      <c r="T154" s="6">
        <v>3</v>
      </c>
      <c r="U154" s="39" t="s">
        <v>733</v>
      </c>
      <c r="V154" s="53" t="s">
        <v>755</v>
      </c>
      <c r="W154" s="23"/>
      <c r="X154" s="6">
        <v>1.9</v>
      </c>
      <c r="Y154" s="6">
        <f t="shared" si="12"/>
        <v>3.8</v>
      </c>
      <c r="Z154" s="6"/>
      <c r="AA154" s="39" t="s">
        <v>712</v>
      </c>
      <c r="AB154" s="39" t="s">
        <v>604</v>
      </c>
      <c r="AC154" s="39" t="s">
        <v>602</v>
      </c>
      <c r="AD154" s="39" t="s">
        <v>501</v>
      </c>
      <c r="AE154" s="6">
        <f>IF(AB154="승용차", INDEX('연료 자료'!$C$6:$F$11, MATCH(AD154,'연료 자료'!$B$6:$B$11, 0), MATCH(AC154,'연료 자료'!$C$5:$F$5, 0)), INDEX('연료 자료'!$G$6:$I$11, MATCH(AD154,'연료 자료'!$B$6:$B$11, 0), MATCH(AC154,'연료 자료'!$G$5:$I$5, 0)))</f>
        <v>15</v>
      </c>
      <c r="AF154" s="6">
        <f>VLOOKUP(AD154, 메모!$J$10:$L$19, 3, FALSE)</f>
        <v>2.2709999999999999</v>
      </c>
      <c r="AG154" s="50">
        <f t="shared" si="9"/>
        <v>0.28765999999999997</v>
      </c>
    </row>
    <row r="155" spans="1:33" ht="18.95" customHeight="1" x14ac:dyDescent="0.25">
      <c r="A155" s="6">
        <v>115</v>
      </c>
      <c r="B155" s="6" t="s">
        <v>94</v>
      </c>
      <c r="C155" s="6" t="s">
        <v>162</v>
      </c>
      <c r="D155" s="6" t="s">
        <v>185</v>
      </c>
      <c r="E155" s="6" t="s">
        <v>193</v>
      </c>
      <c r="F155" s="6" t="s">
        <v>196</v>
      </c>
      <c r="G155" s="6" t="s">
        <v>293</v>
      </c>
      <c r="H155" s="55"/>
      <c r="I155" s="55"/>
      <c r="J155" s="55"/>
      <c r="K155" s="39" t="s">
        <v>392</v>
      </c>
      <c r="L155" s="6" t="b">
        <v>0</v>
      </c>
      <c r="M155" s="6" t="b">
        <v>0</v>
      </c>
      <c r="N155" s="6" t="s">
        <v>358</v>
      </c>
      <c r="O155" s="39" t="s">
        <v>685</v>
      </c>
      <c r="P155" s="39"/>
      <c r="Q155" s="39"/>
      <c r="R155" s="39"/>
      <c r="S155" s="6"/>
      <c r="T155" s="6">
        <v>3</v>
      </c>
      <c r="U155" s="39" t="s">
        <v>733</v>
      </c>
      <c r="V155" s="53" t="s">
        <v>384</v>
      </c>
      <c r="W155" s="39"/>
      <c r="X155" s="6">
        <v>29</v>
      </c>
      <c r="Y155" s="6">
        <f t="shared" si="12"/>
        <v>58</v>
      </c>
      <c r="Z155" s="6"/>
      <c r="AA155" s="39" t="s">
        <v>450</v>
      </c>
      <c r="AB155" s="39" t="s">
        <v>604</v>
      </c>
      <c r="AC155" s="39" t="s">
        <v>602</v>
      </c>
      <c r="AD155" s="39" t="s">
        <v>496</v>
      </c>
      <c r="AE155" s="39">
        <f>IF(AB155="승용차", INDEX('연료 자료'!$C$6:$F$11, MATCH(AD155,'연료 자료'!$B$6:$B$11, 0), MATCH(AC155,'연료 자료'!$C$5:$F$5, 0)), INDEX('연료 자료'!$G$6:$I$11, MATCH(AD155,'연료 자료'!$B$6:$B$11, 0), MATCH(AC155,'연료 자료'!$G$5:$I$5, 0)))</f>
        <v>7</v>
      </c>
      <c r="AF155" s="6">
        <f>VLOOKUP(AD155, 메모!$J$10:$L$19, 3, FALSE)</f>
        <v>2.2709999999999999</v>
      </c>
      <c r="AG155" s="50">
        <f t="shared" si="9"/>
        <v>9.4084285714285727</v>
      </c>
    </row>
    <row r="156" spans="1:33" ht="18.95" customHeight="1" x14ac:dyDescent="0.25">
      <c r="A156" s="6">
        <v>215</v>
      </c>
      <c r="B156" s="6" t="s">
        <v>139</v>
      </c>
      <c r="C156" s="6" t="s">
        <v>175</v>
      </c>
      <c r="D156" s="6" t="s">
        <v>185</v>
      </c>
      <c r="E156" s="6" t="s">
        <v>193</v>
      </c>
      <c r="F156" s="6" t="s">
        <v>196</v>
      </c>
      <c r="G156" s="6" t="s">
        <v>338</v>
      </c>
      <c r="H156" s="55"/>
      <c r="I156" s="55"/>
      <c r="J156" s="55"/>
      <c r="K156" s="39" t="s">
        <v>397</v>
      </c>
      <c r="L156" s="6" t="b">
        <v>0</v>
      </c>
      <c r="M156" s="6" t="b">
        <v>0</v>
      </c>
      <c r="N156" s="6" t="s">
        <v>358</v>
      </c>
      <c r="O156" s="39" t="s">
        <v>656</v>
      </c>
      <c r="P156" s="39"/>
      <c r="Q156" s="39"/>
      <c r="R156" s="39"/>
      <c r="S156" s="6"/>
      <c r="T156" s="6">
        <v>3</v>
      </c>
      <c r="U156" s="39" t="s">
        <v>733</v>
      </c>
      <c r="V156" s="53"/>
      <c r="W156" s="6"/>
      <c r="X156" s="6"/>
      <c r="Y156" s="6">
        <f t="shared" si="12"/>
        <v>0</v>
      </c>
      <c r="Z156" s="6"/>
      <c r="AA156" s="39" t="s">
        <v>467</v>
      </c>
      <c r="AB156" s="51" t="s">
        <v>729</v>
      </c>
      <c r="AC156" s="7" t="s">
        <v>730</v>
      </c>
      <c r="AD156" s="39" t="s">
        <v>499</v>
      </c>
      <c r="AE156" s="6">
        <f>IF(AB156="승용차", INDEX('연료 자료'!$C$6:$F$11, MATCH(AD156,'연료 자료'!$B$6:$B$11, 0), MATCH(AC156,'연료 자료'!$C$5:$F$5, 0)), INDEX('연료 자료'!$G$6:$I$11, MATCH(AD156,'연료 자료'!$B$6:$B$11, 0), MATCH(AC156,'연료 자료'!$G$5:$I$5, 0)))</f>
        <v>5</v>
      </c>
      <c r="AF156" s="6">
        <f>VLOOKUP(AD156, 메모!$J$10:$L$19, 3, FALSE)</f>
        <v>2.6139999999999999</v>
      </c>
      <c r="AG156" s="50">
        <f t="shared" si="9"/>
        <v>0</v>
      </c>
    </row>
    <row r="157" spans="1:33" ht="18.95" customHeight="1" x14ac:dyDescent="0.25">
      <c r="A157" s="6">
        <v>207</v>
      </c>
      <c r="B157" s="6" t="s">
        <v>135</v>
      </c>
      <c r="C157" s="6" t="s">
        <v>173</v>
      </c>
      <c r="D157" s="6" t="s">
        <v>185</v>
      </c>
      <c r="E157" s="6" t="s">
        <v>193</v>
      </c>
      <c r="F157" s="6" t="s">
        <v>196</v>
      </c>
      <c r="G157" s="6" t="s">
        <v>333</v>
      </c>
      <c r="H157" s="55"/>
      <c r="I157" s="55"/>
      <c r="J157" s="55"/>
      <c r="K157" s="39" t="s">
        <v>402</v>
      </c>
      <c r="L157" s="6" t="b">
        <v>0</v>
      </c>
      <c r="M157" s="6" t="b">
        <v>0</v>
      </c>
      <c r="N157" s="6" t="s">
        <v>358</v>
      </c>
      <c r="O157" s="39"/>
      <c r="P157" s="39"/>
      <c r="Q157" s="39"/>
      <c r="R157" s="39"/>
      <c r="S157" s="6"/>
      <c r="T157" s="6">
        <v>3</v>
      </c>
      <c r="U157" s="39" t="s">
        <v>733</v>
      </c>
      <c r="V157" s="53"/>
      <c r="W157" s="6"/>
      <c r="X157" s="6"/>
      <c r="Y157" s="6">
        <f t="shared" si="12"/>
        <v>0</v>
      </c>
      <c r="Z157" s="6"/>
      <c r="AA157" s="39" t="s">
        <v>719</v>
      </c>
      <c r="AB157" s="39" t="s">
        <v>604</v>
      </c>
      <c r="AC157" s="39" t="s">
        <v>601</v>
      </c>
      <c r="AD157" s="39" t="s">
        <v>496</v>
      </c>
      <c r="AE157" s="6">
        <f>IF(AB157="승용차", INDEX('연료 자료'!$C$6:$F$11, MATCH(AD157,'연료 자료'!$B$6:$B$11, 0), MATCH(AC157,'연료 자료'!$C$5:$F$5, 0)), INDEX('연료 자료'!$G$6:$I$11, MATCH(AD157,'연료 자료'!$B$6:$B$11, 0), MATCH(AC157,'연료 자료'!$G$5:$I$5, 0)))</f>
        <v>10</v>
      </c>
      <c r="AF157" s="6">
        <f>VLOOKUP(AD157, 메모!$J$10:$L$19, 3, FALSE)</f>
        <v>2.2709999999999999</v>
      </c>
      <c r="AG157" s="50">
        <f t="shared" si="9"/>
        <v>0</v>
      </c>
    </row>
    <row r="158" spans="1:33" ht="18.95" customHeight="1" x14ac:dyDescent="0.25">
      <c r="A158" s="6">
        <v>233</v>
      </c>
      <c r="B158" s="6" t="s">
        <v>146</v>
      </c>
      <c r="C158" s="6" t="s">
        <v>180</v>
      </c>
      <c r="D158" s="6" t="s">
        <v>189</v>
      </c>
      <c r="E158" s="6" t="s">
        <v>193</v>
      </c>
      <c r="F158" s="6" t="s">
        <v>196</v>
      </c>
      <c r="G158" s="6" t="s">
        <v>347</v>
      </c>
      <c r="H158" s="55"/>
      <c r="I158" s="55"/>
      <c r="J158" s="55"/>
      <c r="K158" s="6" t="s">
        <v>347</v>
      </c>
      <c r="L158" s="6" t="b">
        <v>0</v>
      </c>
      <c r="M158" s="6" t="b">
        <v>0</v>
      </c>
      <c r="N158" s="6" t="s">
        <v>358</v>
      </c>
      <c r="O158" s="6"/>
      <c r="P158" s="6"/>
      <c r="Q158" s="6"/>
      <c r="R158" s="6"/>
      <c r="S158" s="6"/>
      <c r="T158" s="6">
        <v>3</v>
      </c>
      <c r="U158" s="39" t="s">
        <v>733</v>
      </c>
      <c r="V158" s="53" t="s">
        <v>759</v>
      </c>
      <c r="W158" s="6"/>
      <c r="X158" s="6">
        <v>398</v>
      </c>
      <c r="Y158" s="6">
        <f t="shared" si="12"/>
        <v>796</v>
      </c>
      <c r="Z158" s="6"/>
      <c r="AA158" s="39" t="s">
        <v>444</v>
      </c>
      <c r="AB158" s="39" t="s">
        <v>604</v>
      </c>
      <c r="AC158" s="39" t="s">
        <v>602</v>
      </c>
      <c r="AD158" s="39" t="s">
        <v>499</v>
      </c>
      <c r="AE158" s="6">
        <f>IF(AB158="승용차", INDEX('연료 자료'!$C$6:$F$11, MATCH(AD158,'연료 자료'!$B$6:$B$11, 0), MATCH(AC158,'연료 자료'!$C$5:$F$5, 0)), INDEX('연료 자료'!$G$6:$I$11, MATCH(AD158,'연료 자료'!$B$6:$B$11, 0), MATCH(AC158,'연료 자료'!$G$5:$I$5, 0)))</f>
        <v>10</v>
      </c>
      <c r="AF158" s="6">
        <f>VLOOKUP(AD158, 메모!$J$10:$L$19, 3, FALSE)</f>
        <v>2.6139999999999999</v>
      </c>
      <c r="AG158" s="50">
        <f t="shared" si="9"/>
        <v>104.03719999999998</v>
      </c>
    </row>
    <row r="159" spans="1:33" ht="18.95" customHeight="1" x14ac:dyDescent="0.25">
      <c r="A159" s="6">
        <v>234</v>
      </c>
      <c r="B159" s="6" t="s">
        <v>147</v>
      </c>
      <c r="C159" s="6" t="s">
        <v>180</v>
      </c>
      <c r="D159" s="6" t="s">
        <v>189</v>
      </c>
      <c r="E159" s="6" t="s">
        <v>193</v>
      </c>
      <c r="F159" s="6" t="s">
        <v>196</v>
      </c>
      <c r="G159" s="6" t="s">
        <v>347</v>
      </c>
      <c r="H159" s="55"/>
      <c r="I159" s="55"/>
      <c r="J159" s="55"/>
      <c r="K159" s="6" t="s">
        <v>347</v>
      </c>
      <c r="L159" s="6" t="b">
        <v>0</v>
      </c>
      <c r="M159" s="6" t="b">
        <v>0</v>
      </c>
      <c r="N159" s="6" t="s">
        <v>358</v>
      </c>
      <c r="O159" s="6"/>
      <c r="P159" s="6"/>
      <c r="Q159" s="6"/>
      <c r="R159" s="6"/>
      <c r="S159" s="6"/>
      <c r="T159" s="6">
        <v>3</v>
      </c>
      <c r="U159" s="39" t="s">
        <v>733</v>
      </c>
      <c r="V159" s="53" t="s">
        <v>759</v>
      </c>
      <c r="W159" s="6"/>
      <c r="X159" s="6">
        <v>398</v>
      </c>
      <c r="Y159" s="6">
        <f t="shared" si="12"/>
        <v>796</v>
      </c>
      <c r="Z159" s="6"/>
      <c r="AA159" s="39" t="s">
        <v>455</v>
      </c>
      <c r="AB159" s="39" t="s">
        <v>605</v>
      </c>
      <c r="AC159" s="39" t="s">
        <v>603</v>
      </c>
      <c r="AD159" s="39" t="s">
        <v>499</v>
      </c>
      <c r="AE159" s="6">
        <f>IF(AB159="승용차", INDEX('연료 자료'!$C$6:$F$11, MATCH(AD159,'연료 자료'!$B$6:$B$11, 0), MATCH(AC159,'연료 자료'!$C$5:$F$5, 0)), INDEX('연료 자료'!$G$6:$I$11, MATCH(AD159,'연료 자료'!$B$6:$B$11, 0), MATCH(AC159,'연료 자료'!$G$5:$I$5, 0)))</f>
        <v>9</v>
      </c>
      <c r="AF159" s="6">
        <f>VLOOKUP(AD159, 메모!$J$10:$L$19, 3, FALSE)</f>
        <v>2.6139999999999999</v>
      </c>
      <c r="AG159" s="50">
        <f t="shared" si="9"/>
        <v>115.59688888888888</v>
      </c>
    </row>
    <row r="160" spans="1:33" ht="18.95" customHeight="1" x14ac:dyDescent="0.25">
      <c r="A160" s="6">
        <v>235</v>
      </c>
      <c r="B160" s="6" t="s">
        <v>148</v>
      </c>
      <c r="C160" s="6" t="s">
        <v>180</v>
      </c>
      <c r="D160" s="6" t="s">
        <v>189</v>
      </c>
      <c r="E160" s="6" t="s">
        <v>193</v>
      </c>
      <c r="F160" s="6" t="s">
        <v>196</v>
      </c>
      <c r="G160" s="6" t="s">
        <v>347</v>
      </c>
      <c r="H160" s="55"/>
      <c r="I160" s="55"/>
      <c r="J160" s="55"/>
      <c r="K160" s="6" t="s">
        <v>347</v>
      </c>
      <c r="L160" s="6" t="b">
        <v>0</v>
      </c>
      <c r="M160" s="6" t="b">
        <v>0</v>
      </c>
      <c r="N160" s="6" t="s">
        <v>358</v>
      </c>
      <c r="O160" s="6"/>
      <c r="P160" s="6"/>
      <c r="Q160" s="6"/>
      <c r="R160" s="6"/>
      <c r="S160" s="6"/>
      <c r="T160" s="6">
        <v>3</v>
      </c>
      <c r="U160" s="39" t="s">
        <v>733</v>
      </c>
      <c r="V160" s="53" t="s">
        <v>759</v>
      </c>
      <c r="W160" s="6"/>
      <c r="X160" s="6">
        <v>398</v>
      </c>
      <c r="Y160" s="6">
        <f t="shared" si="12"/>
        <v>796</v>
      </c>
      <c r="Z160" s="6"/>
      <c r="AA160" s="7" t="s">
        <v>721</v>
      </c>
      <c r="AB160" s="39" t="s">
        <v>604</v>
      </c>
      <c r="AC160" s="39" t="s">
        <v>602</v>
      </c>
      <c r="AD160" s="39" t="s">
        <v>501</v>
      </c>
      <c r="AE160" s="6">
        <f>IF(AB160="승용차", INDEX('연료 자료'!$C$6:$F$11, MATCH(AD160,'연료 자료'!$B$6:$B$11, 0), MATCH(AC160,'연료 자료'!$C$5:$F$5, 0)), INDEX('연료 자료'!$G$6:$I$11, MATCH(AD160,'연료 자료'!$B$6:$B$11, 0), MATCH(AC160,'연료 자료'!$G$5:$I$5, 0)))</f>
        <v>15</v>
      </c>
      <c r="AF160" s="6">
        <f>VLOOKUP(AD160, 메모!$J$10:$L$19, 3, FALSE)</f>
        <v>2.2709999999999999</v>
      </c>
      <c r="AG160" s="50">
        <f t="shared" si="9"/>
        <v>60.257200000000005</v>
      </c>
    </row>
    <row r="161" spans="1:33" ht="18.95" customHeight="1" x14ac:dyDescent="0.25">
      <c r="A161" s="6">
        <v>236</v>
      </c>
      <c r="B161" s="6" t="s">
        <v>149</v>
      </c>
      <c r="C161" s="6" t="s">
        <v>180</v>
      </c>
      <c r="D161" s="6" t="s">
        <v>189</v>
      </c>
      <c r="E161" s="6" t="s">
        <v>193</v>
      </c>
      <c r="F161" s="6" t="s">
        <v>196</v>
      </c>
      <c r="G161" s="6" t="s">
        <v>347</v>
      </c>
      <c r="H161" s="55"/>
      <c r="I161" s="55"/>
      <c r="J161" s="55"/>
      <c r="K161" s="6" t="s">
        <v>347</v>
      </c>
      <c r="L161" s="6" t="b">
        <v>0</v>
      </c>
      <c r="M161" s="6" t="b">
        <v>0</v>
      </c>
      <c r="N161" s="6" t="s">
        <v>358</v>
      </c>
      <c r="O161" s="6"/>
      <c r="P161" s="6"/>
      <c r="Q161" s="6"/>
      <c r="R161" s="6"/>
      <c r="S161" s="6"/>
      <c r="T161" s="6">
        <v>3</v>
      </c>
      <c r="U161" s="39" t="s">
        <v>733</v>
      </c>
      <c r="V161" s="53" t="s">
        <v>759</v>
      </c>
      <c r="W161" s="6"/>
      <c r="X161" s="6">
        <v>398</v>
      </c>
      <c r="Y161" s="6">
        <f t="shared" si="12"/>
        <v>796</v>
      </c>
      <c r="Z161" s="6"/>
      <c r="AA161" s="39" t="s">
        <v>461</v>
      </c>
      <c r="AB161" s="7" t="s">
        <v>502</v>
      </c>
      <c r="AC161" s="7" t="s">
        <v>502</v>
      </c>
      <c r="AD161" s="7" t="s">
        <v>502</v>
      </c>
      <c r="AE161" s="6" t="e">
        <f>IF(AB161="승용차", INDEX('연료 자료'!$C$6:$F$11, MATCH(AD161,'연료 자료'!$B$6:$B$11, 0), MATCH(AC161,'연료 자료'!$C$5:$F$5, 0)), INDEX('연료 자료'!$G$6:$I$11, MATCH(AD161,'연료 자료'!$B$6:$B$11, 0), MATCH(AC161,'연료 자료'!$G$5:$I$5, 0)))</f>
        <v>#N/A</v>
      </c>
      <c r="AF161" s="6" t="e">
        <f>VLOOKUP(AD161, 메모!$J$10:$L$19, 3, FALSE)</f>
        <v>#N/A</v>
      </c>
      <c r="AG161" s="50" t="e">
        <f t="shared" si="9"/>
        <v>#N/A</v>
      </c>
    </row>
    <row r="162" spans="1:33" ht="18.95" customHeight="1" x14ac:dyDescent="0.25">
      <c r="A162" s="6">
        <v>237</v>
      </c>
      <c r="B162" s="6" t="s">
        <v>150</v>
      </c>
      <c r="C162" s="6" t="s">
        <v>180</v>
      </c>
      <c r="D162" s="6" t="s">
        <v>189</v>
      </c>
      <c r="E162" s="6" t="s">
        <v>193</v>
      </c>
      <c r="F162" s="6" t="s">
        <v>196</v>
      </c>
      <c r="G162" s="6" t="s">
        <v>348</v>
      </c>
      <c r="H162" s="55"/>
      <c r="I162" s="55"/>
      <c r="J162" s="55"/>
      <c r="K162" s="6" t="s">
        <v>347</v>
      </c>
      <c r="L162" s="6" t="b">
        <v>0</v>
      </c>
      <c r="M162" s="6" t="b">
        <v>0</v>
      </c>
      <c r="N162" s="6" t="s">
        <v>358</v>
      </c>
      <c r="O162" s="6"/>
      <c r="P162" s="6"/>
      <c r="Q162" s="6"/>
      <c r="R162" s="6"/>
      <c r="S162" s="6"/>
      <c r="T162" s="6">
        <v>3</v>
      </c>
      <c r="U162" s="39" t="s">
        <v>733</v>
      </c>
      <c r="V162" s="53" t="s">
        <v>759</v>
      </c>
      <c r="W162" s="6"/>
      <c r="X162" s="6">
        <v>398</v>
      </c>
      <c r="Y162" s="6">
        <f t="shared" si="12"/>
        <v>796</v>
      </c>
      <c r="Z162" s="6"/>
      <c r="AA162" s="39" t="s">
        <v>498</v>
      </c>
      <c r="AB162" s="39" t="s">
        <v>604</v>
      </c>
      <c r="AC162" s="39" t="s">
        <v>601</v>
      </c>
      <c r="AD162" s="39" t="s">
        <v>499</v>
      </c>
      <c r="AE162" s="6">
        <f>IF(AB162="승용차", INDEX('연료 자료'!$C$6:$F$11, MATCH(AD162,'연료 자료'!$B$6:$B$11, 0), MATCH(AC162,'연료 자료'!$C$5:$F$5, 0)), INDEX('연료 자료'!$G$6:$I$11, MATCH(AD162,'연료 자료'!$B$6:$B$11, 0), MATCH(AC162,'연료 자료'!$G$5:$I$5, 0)))</f>
        <v>13</v>
      </c>
      <c r="AF162" s="6">
        <f>VLOOKUP(AD162, 메모!$J$10:$L$19, 3, FALSE)</f>
        <v>2.6139999999999999</v>
      </c>
      <c r="AG162" s="50">
        <f t="shared" si="9"/>
        <v>80.028615384615378</v>
      </c>
    </row>
    <row r="163" spans="1:33" ht="18.95" customHeight="1" x14ac:dyDescent="0.25">
      <c r="A163" s="6">
        <v>238</v>
      </c>
      <c r="B163" s="6" t="s">
        <v>151</v>
      </c>
      <c r="C163" s="6" t="s">
        <v>180</v>
      </c>
      <c r="D163" s="6" t="s">
        <v>189</v>
      </c>
      <c r="E163" s="6" t="s">
        <v>193</v>
      </c>
      <c r="F163" s="6" t="s">
        <v>196</v>
      </c>
      <c r="G163" s="6" t="s">
        <v>348</v>
      </c>
      <c r="H163" s="55"/>
      <c r="I163" s="55"/>
      <c r="J163" s="55"/>
      <c r="K163" s="6" t="s">
        <v>347</v>
      </c>
      <c r="L163" s="6" t="b">
        <v>0</v>
      </c>
      <c r="M163" s="6" t="b">
        <v>0</v>
      </c>
      <c r="N163" s="6" t="s">
        <v>358</v>
      </c>
      <c r="O163" s="6"/>
      <c r="P163" s="6"/>
      <c r="Q163" s="6"/>
      <c r="R163" s="6"/>
      <c r="S163" s="6"/>
      <c r="T163" s="6">
        <v>3</v>
      </c>
      <c r="U163" s="39" t="s">
        <v>733</v>
      </c>
      <c r="V163" s="53" t="s">
        <v>759</v>
      </c>
      <c r="W163" s="6"/>
      <c r="X163" s="6">
        <v>398</v>
      </c>
      <c r="Y163" s="6">
        <f t="shared" si="12"/>
        <v>796</v>
      </c>
      <c r="Z163" s="6"/>
      <c r="AA163" s="39" t="s">
        <v>444</v>
      </c>
      <c r="AB163" s="39" t="s">
        <v>604</v>
      </c>
      <c r="AC163" s="39" t="s">
        <v>602</v>
      </c>
      <c r="AD163" s="39" t="s">
        <v>499</v>
      </c>
      <c r="AE163" s="6">
        <f>IF(AB163="승용차", INDEX('연료 자료'!$C$6:$F$11, MATCH(AD163,'연료 자료'!$B$6:$B$11, 0), MATCH(AC163,'연료 자료'!$C$5:$F$5, 0)), INDEX('연료 자료'!$G$6:$I$11, MATCH(AD163,'연료 자료'!$B$6:$B$11, 0), MATCH(AC163,'연료 자료'!$G$5:$I$5, 0)))</f>
        <v>10</v>
      </c>
      <c r="AF163" s="6">
        <f>VLOOKUP(AD163, 메모!$J$10:$L$19, 3, FALSE)</f>
        <v>2.6139999999999999</v>
      </c>
      <c r="AG163" s="50">
        <f t="shared" si="9"/>
        <v>104.03719999999998</v>
      </c>
    </row>
    <row r="164" spans="1:33" ht="18.95" customHeight="1" x14ac:dyDescent="0.25">
      <c r="A164" s="6">
        <v>239</v>
      </c>
      <c r="B164" s="6" t="s">
        <v>152</v>
      </c>
      <c r="C164" s="6" t="s">
        <v>180</v>
      </c>
      <c r="D164" s="6" t="s">
        <v>189</v>
      </c>
      <c r="E164" s="6" t="s">
        <v>193</v>
      </c>
      <c r="F164" s="6" t="s">
        <v>196</v>
      </c>
      <c r="G164" s="6" t="s">
        <v>348</v>
      </c>
      <c r="H164" s="55"/>
      <c r="I164" s="55"/>
      <c r="J164" s="55"/>
      <c r="K164" s="6" t="s">
        <v>347</v>
      </c>
      <c r="L164" s="6" t="b">
        <v>0</v>
      </c>
      <c r="M164" s="6" t="b">
        <v>0</v>
      </c>
      <c r="N164" s="6" t="s">
        <v>358</v>
      </c>
      <c r="O164" s="6"/>
      <c r="P164" s="6"/>
      <c r="Q164" s="6"/>
      <c r="R164" s="6"/>
      <c r="S164" s="6"/>
      <c r="T164" s="6">
        <v>3</v>
      </c>
      <c r="U164" s="39" t="s">
        <v>733</v>
      </c>
      <c r="V164" s="53" t="s">
        <v>759</v>
      </c>
      <c r="W164" s="6"/>
      <c r="X164" s="6">
        <v>398</v>
      </c>
      <c r="Y164" s="6">
        <f t="shared" si="12"/>
        <v>796</v>
      </c>
      <c r="Z164" s="6"/>
      <c r="AA164" s="39" t="s">
        <v>444</v>
      </c>
      <c r="AB164" s="39" t="s">
        <v>604</v>
      </c>
      <c r="AC164" s="39" t="s">
        <v>602</v>
      </c>
      <c r="AD164" s="39" t="s">
        <v>499</v>
      </c>
      <c r="AE164" s="6">
        <f>IF(AB164="승용차", INDEX('연료 자료'!$C$6:$F$11, MATCH(AD164,'연료 자료'!$B$6:$B$11, 0), MATCH(AC164,'연료 자료'!$C$5:$F$5, 0)), INDEX('연료 자료'!$G$6:$I$11, MATCH(AD164,'연료 자료'!$B$6:$B$11, 0), MATCH(AC164,'연료 자료'!$G$5:$I$5, 0)))</f>
        <v>10</v>
      </c>
      <c r="AF164" s="6">
        <f>VLOOKUP(AD164, 메모!$J$10:$L$19, 3, FALSE)</f>
        <v>2.6139999999999999</v>
      </c>
      <c r="AG164" s="50">
        <f t="shared" si="9"/>
        <v>104.03719999999998</v>
      </c>
    </row>
    <row r="165" spans="1:33" ht="18.95" customHeight="1" x14ac:dyDescent="0.25">
      <c r="A165" s="6">
        <v>245</v>
      </c>
      <c r="B165" s="6" t="s">
        <v>155</v>
      </c>
      <c r="C165" s="6" t="s">
        <v>182</v>
      </c>
      <c r="D165" s="6" t="s">
        <v>189</v>
      </c>
      <c r="E165" s="6" t="s">
        <v>193</v>
      </c>
      <c r="F165" s="6" t="s">
        <v>196</v>
      </c>
      <c r="G165" s="6" t="s">
        <v>323</v>
      </c>
      <c r="H165" s="55"/>
      <c r="I165" s="55"/>
      <c r="J165" s="55"/>
      <c r="K165" s="39" t="s">
        <v>389</v>
      </c>
      <c r="L165" s="6" t="b">
        <v>0</v>
      </c>
      <c r="M165" s="6" t="b">
        <v>0</v>
      </c>
      <c r="N165" s="6" t="s">
        <v>358</v>
      </c>
      <c r="O165" s="39"/>
      <c r="P165" s="39"/>
      <c r="Q165" s="39"/>
      <c r="R165" s="39"/>
      <c r="S165" s="6"/>
      <c r="T165" s="6">
        <v>3</v>
      </c>
      <c r="U165" s="39" t="s">
        <v>733</v>
      </c>
      <c r="V165" s="53" t="s">
        <v>755</v>
      </c>
      <c r="W165" s="23"/>
      <c r="X165" s="6">
        <v>1.9</v>
      </c>
      <c r="Y165" s="6">
        <f t="shared" si="12"/>
        <v>3.8</v>
      </c>
      <c r="Z165" s="6"/>
      <c r="AA165" s="39" t="s">
        <v>723</v>
      </c>
      <c r="AB165" s="39" t="s">
        <v>604</v>
      </c>
      <c r="AC165" s="39" t="s">
        <v>601</v>
      </c>
      <c r="AD165" s="39" t="s">
        <v>597</v>
      </c>
      <c r="AE165" s="6">
        <f>IF(AB165="승용차", INDEX('연료 자료'!$C$6:$F$11, MATCH(AD165,'연료 자료'!$B$6:$B$11, 0), MATCH(AC165,'연료 자료'!$C$5:$F$5, 0)), INDEX('연료 자료'!$G$6:$I$11, MATCH(AD165,'연료 자료'!$B$6:$B$11, 0), MATCH(AC165,'연료 자료'!$G$5:$I$5, 0)))</f>
        <v>5</v>
      </c>
      <c r="AF165" s="6">
        <f>VLOOKUP(AD165, 메모!$J$10:$L$19, 3, FALSE)</f>
        <v>0.42499999999999999</v>
      </c>
      <c r="AG165" s="50">
        <f t="shared" si="9"/>
        <v>0.1615</v>
      </c>
    </row>
    <row r="166" spans="1:33" ht="18.95" customHeight="1" x14ac:dyDescent="0.25">
      <c r="A166" s="6">
        <v>246</v>
      </c>
      <c r="B166" s="6" t="s">
        <v>156</v>
      </c>
      <c r="C166" s="6" t="s">
        <v>182</v>
      </c>
      <c r="D166" s="6" t="s">
        <v>191</v>
      </c>
      <c r="E166" s="6" t="s">
        <v>193</v>
      </c>
      <c r="F166" s="6" t="s">
        <v>196</v>
      </c>
      <c r="G166" s="6" t="s">
        <v>351</v>
      </c>
      <c r="H166" s="55"/>
      <c r="I166" s="55"/>
      <c r="J166" s="55"/>
      <c r="K166" s="39" t="s">
        <v>386</v>
      </c>
      <c r="L166" s="6" t="b">
        <v>0</v>
      </c>
      <c r="M166" s="6" t="b">
        <v>0</v>
      </c>
      <c r="N166" s="6" t="s">
        <v>358</v>
      </c>
      <c r="O166" s="39"/>
      <c r="P166" s="39"/>
      <c r="Q166" s="39"/>
      <c r="R166" s="39"/>
      <c r="S166" s="6"/>
      <c r="T166" s="6">
        <v>3</v>
      </c>
      <c r="U166" s="39" t="s">
        <v>733</v>
      </c>
      <c r="V166" s="53" t="s">
        <v>760</v>
      </c>
      <c r="W166" s="6"/>
      <c r="X166" s="6">
        <v>8.4</v>
      </c>
      <c r="Y166" s="6">
        <f t="shared" si="12"/>
        <v>16.8</v>
      </c>
      <c r="Z166" s="6"/>
      <c r="AA166" s="39" t="s">
        <v>485</v>
      </c>
      <c r="AB166" s="39" t="s">
        <v>604</v>
      </c>
      <c r="AC166" s="39" t="s">
        <v>602</v>
      </c>
      <c r="AD166" s="39" t="s">
        <v>496</v>
      </c>
      <c r="AE166" s="6">
        <f>IF(AB166="승용차", INDEX('연료 자료'!$C$6:$F$11, MATCH(AD166,'연료 자료'!$B$6:$B$11, 0), MATCH(AC166,'연료 자료'!$C$5:$F$5, 0)), INDEX('연료 자료'!$G$6:$I$11, MATCH(AD166,'연료 자료'!$B$6:$B$11, 0), MATCH(AC166,'연료 자료'!$G$5:$I$5, 0)))</f>
        <v>7</v>
      </c>
      <c r="AF166" s="6">
        <f>VLOOKUP(AD166, 메모!$J$10:$L$19, 3, FALSE)</f>
        <v>2.2709999999999999</v>
      </c>
      <c r="AG166" s="50">
        <f t="shared" si="9"/>
        <v>2.7251999999999996</v>
      </c>
    </row>
    <row r="167" spans="1:33" ht="18.95" customHeight="1" x14ac:dyDescent="0.25">
      <c r="A167" s="6">
        <v>253</v>
      </c>
      <c r="B167" s="6" t="s">
        <v>157</v>
      </c>
      <c r="C167" s="6" t="s">
        <v>182</v>
      </c>
      <c r="D167" s="6" t="s">
        <v>185</v>
      </c>
      <c r="E167" s="6" t="s">
        <v>193</v>
      </c>
      <c r="F167" s="6" t="s">
        <v>196</v>
      </c>
      <c r="G167" s="6" t="s">
        <v>303</v>
      </c>
      <c r="H167" s="55"/>
      <c r="I167" s="55"/>
      <c r="J167" s="55"/>
      <c r="K167" s="39" t="s">
        <v>385</v>
      </c>
      <c r="L167" s="6" t="b">
        <v>0</v>
      </c>
      <c r="M167" s="6" t="b">
        <v>0</v>
      </c>
      <c r="N167" s="6" t="s">
        <v>358</v>
      </c>
      <c r="O167" s="39"/>
      <c r="P167" s="39"/>
      <c r="Q167" s="39"/>
      <c r="R167" s="39"/>
      <c r="S167" s="6"/>
      <c r="T167" s="6">
        <v>3</v>
      </c>
      <c r="U167" s="39" t="s">
        <v>741</v>
      </c>
      <c r="V167" s="53" t="s">
        <v>421</v>
      </c>
      <c r="W167" s="6"/>
      <c r="X167" s="6">
        <v>13</v>
      </c>
      <c r="Y167" s="6">
        <f t="shared" si="12"/>
        <v>26</v>
      </c>
      <c r="Z167" s="6"/>
      <c r="AA167" s="39" t="s">
        <v>498</v>
      </c>
      <c r="AB167" s="39" t="s">
        <v>604</v>
      </c>
      <c r="AC167" s="39" t="s">
        <v>601</v>
      </c>
      <c r="AD167" s="39" t="s">
        <v>496</v>
      </c>
      <c r="AE167" s="6">
        <f>IF(AB167="승용차", INDEX('연료 자료'!$C$6:$F$11, MATCH(AD167,'연료 자료'!$B$6:$B$11, 0), MATCH(AC167,'연료 자료'!$C$5:$F$5, 0)), INDEX('연료 자료'!$G$6:$I$11, MATCH(AD167,'연료 자료'!$B$6:$B$11, 0), MATCH(AC167,'연료 자료'!$G$5:$I$5, 0)))</f>
        <v>10</v>
      </c>
      <c r="AF167" s="6">
        <f>VLOOKUP(AD167, 메모!$J$10:$L$19, 3, FALSE)</f>
        <v>2.2709999999999999</v>
      </c>
      <c r="AG167" s="50">
        <f t="shared" si="9"/>
        <v>2.9523000000000001</v>
      </c>
    </row>
    <row r="168" spans="1:33" ht="18.95" customHeight="1" x14ac:dyDescent="0.25">
      <c r="A168" s="6">
        <v>192</v>
      </c>
      <c r="B168" s="7" t="s">
        <v>489</v>
      </c>
      <c r="C168" s="6" t="s">
        <v>170</v>
      </c>
      <c r="D168" s="6" t="s">
        <v>185</v>
      </c>
      <c r="E168" s="6" t="s">
        <v>193</v>
      </c>
      <c r="F168" s="6" t="s">
        <v>196</v>
      </c>
      <c r="G168" s="6" t="s">
        <v>327</v>
      </c>
      <c r="H168" s="55"/>
      <c r="I168" s="55"/>
      <c r="J168" s="55"/>
      <c r="K168" s="39" t="s">
        <v>385</v>
      </c>
      <c r="L168" s="6" t="b">
        <v>0</v>
      </c>
      <c r="M168" s="6" t="b">
        <v>0</v>
      </c>
      <c r="N168" s="6" t="s">
        <v>358</v>
      </c>
      <c r="O168" s="39"/>
      <c r="P168" s="39"/>
      <c r="Q168" s="39"/>
      <c r="R168" s="39"/>
      <c r="S168" s="6"/>
      <c r="T168" s="6">
        <v>3</v>
      </c>
      <c r="U168" s="39" t="s">
        <v>741</v>
      </c>
      <c r="V168" s="53" t="s">
        <v>421</v>
      </c>
      <c r="W168" s="23"/>
      <c r="X168" s="6">
        <v>13</v>
      </c>
      <c r="Y168" s="6">
        <f t="shared" si="12"/>
        <v>26</v>
      </c>
      <c r="Z168" s="6"/>
      <c r="AA168" s="39" t="s">
        <v>490</v>
      </c>
      <c r="AB168" s="39" t="s">
        <v>604</v>
      </c>
      <c r="AC168" s="39" t="s">
        <v>602</v>
      </c>
      <c r="AD168" s="39" t="s">
        <v>496</v>
      </c>
      <c r="AE168" s="39">
        <f>IF(AB168="승용차", INDEX('연료 자료'!$C$6:$F$11, MATCH(AD168,'연료 자료'!$B$6:$B$11, 0), MATCH(AC168,'연료 자료'!$C$5:$F$5, 0)), INDEX('연료 자료'!$G$6:$I$11, MATCH(AD168,'연료 자료'!$B$6:$B$11, 0), MATCH(AC168,'연료 자료'!$G$5:$I$5, 0)))</f>
        <v>7</v>
      </c>
      <c r="AF168" s="6">
        <f>VLOOKUP(AD168, 메모!$J$10:$L$19, 3, FALSE)</f>
        <v>2.2709999999999999</v>
      </c>
      <c r="AG168" s="50">
        <f t="shared" si="9"/>
        <v>4.2175714285714285</v>
      </c>
    </row>
  </sheetData>
  <autoFilter ref="A1:AH172" xr:uid="{00000000-0009-0000-0000-000000000000}"/>
  <phoneticPr fontId="2" type="noConversion"/>
  <conditionalFormatting sqref="K2:K116 K118:K153 K155:K168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0"/>
  <sheetViews>
    <sheetView zoomScale="85" zoomScaleNormal="85" workbookViewId="0">
      <selection activeCell="H6" sqref="H6"/>
    </sheetView>
  </sheetViews>
  <sheetFormatPr defaultColWidth="9.140625" defaultRowHeight="15" x14ac:dyDescent="0.25"/>
  <cols>
    <col min="1" max="1" width="9.140625" style="13"/>
    <col min="2" max="2" width="13.5703125" style="12" bestFit="1" customWidth="1"/>
    <col min="3" max="9" width="10.28515625" style="12" customWidth="1"/>
    <col min="10" max="11" width="13.140625" style="12" customWidth="1"/>
    <col min="12" max="32" width="9.140625" style="13"/>
    <col min="33" max="34" width="9.140625" style="13" customWidth="1"/>
    <col min="35" max="16384" width="9.140625" style="13"/>
  </cols>
  <sheetData>
    <row r="2" spans="2:15" ht="16.5" x14ac:dyDescent="0.3">
      <c r="B2" s="17"/>
      <c r="H2" s="22" t="s">
        <v>684</v>
      </c>
    </row>
    <row r="3" spans="2:15" s="15" customFormat="1" ht="31.5" x14ac:dyDescent="0.25">
      <c r="B3" s="80" t="s">
        <v>649</v>
      </c>
      <c r="C3" s="80"/>
      <c r="D3" s="80"/>
      <c r="E3" s="80"/>
      <c r="F3" s="80"/>
      <c r="G3" s="80"/>
      <c r="H3" s="80"/>
      <c r="I3" s="80"/>
      <c r="J3" s="14"/>
      <c r="K3" s="14"/>
    </row>
    <row r="4" spans="2:15" s="15" customFormat="1" ht="19.5" customHeight="1" x14ac:dyDescent="0.25">
      <c r="B4" s="74" t="s">
        <v>606</v>
      </c>
      <c r="C4" s="79" t="s">
        <v>604</v>
      </c>
      <c r="D4" s="79"/>
      <c r="E4" s="79"/>
      <c r="F4" s="79"/>
      <c r="G4" s="79" t="s">
        <v>691</v>
      </c>
      <c r="H4" s="79"/>
      <c r="I4" s="79"/>
      <c r="J4" s="14"/>
      <c r="K4" s="14"/>
      <c r="N4" s="18"/>
      <c r="O4" s="14"/>
    </row>
    <row r="5" spans="2:15" s="15" customFormat="1" ht="19.5" customHeight="1" x14ac:dyDescent="0.25">
      <c r="B5" s="74"/>
      <c r="C5" s="9" t="s">
        <v>599</v>
      </c>
      <c r="D5" s="9" t="s">
        <v>600</v>
      </c>
      <c r="E5" s="9" t="s">
        <v>601</v>
      </c>
      <c r="F5" s="9" t="s">
        <v>602</v>
      </c>
      <c r="G5" s="9" t="s">
        <v>603</v>
      </c>
      <c r="H5" s="24" t="s">
        <v>726</v>
      </c>
      <c r="I5" s="9" t="s">
        <v>610</v>
      </c>
      <c r="J5" s="14"/>
      <c r="K5" s="14"/>
      <c r="N5" s="19"/>
      <c r="O5" s="20"/>
    </row>
    <row r="6" spans="2:15" s="15" customFormat="1" ht="19.5" customHeight="1" x14ac:dyDescent="0.25">
      <c r="B6" s="10" t="s">
        <v>496</v>
      </c>
      <c r="C6" s="6">
        <v>14</v>
      </c>
      <c r="D6" s="6">
        <v>12</v>
      </c>
      <c r="E6" s="6">
        <v>10</v>
      </c>
      <c r="F6" s="6">
        <v>7</v>
      </c>
      <c r="G6" s="7" t="s">
        <v>502</v>
      </c>
      <c r="H6" s="7" t="s">
        <v>502</v>
      </c>
      <c r="I6" s="7" t="s">
        <v>502</v>
      </c>
      <c r="J6" s="14"/>
      <c r="K6" s="14"/>
      <c r="N6" s="19"/>
      <c r="O6" s="20"/>
    </row>
    <row r="7" spans="2:15" s="15" customFormat="1" ht="19.5" customHeight="1" x14ac:dyDescent="0.25">
      <c r="B7" s="10" t="s">
        <v>499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25">
      <c r="B8" s="10" t="s">
        <v>501</v>
      </c>
      <c r="C8" s="6">
        <v>15</v>
      </c>
      <c r="D8" s="6">
        <v>15</v>
      </c>
      <c r="E8" s="6">
        <v>15</v>
      </c>
      <c r="F8" s="6">
        <v>15</v>
      </c>
      <c r="G8" s="7" t="s">
        <v>502</v>
      </c>
      <c r="H8" s="7" t="s">
        <v>502</v>
      </c>
      <c r="I8" s="7" t="s">
        <v>502</v>
      </c>
      <c r="J8" s="14"/>
      <c r="K8" s="14"/>
      <c r="N8" s="18"/>
      <c r="O8" s="20"/>
    </row>
    <row r="9" spans="2:15" s="15" customFormat="1" ht="19.5" customHeight="1" x14ac:dyDescent="0.25">
      <c r="B9" s="10" t="s">
        <v>503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502</v>
      </c>
      <c r="I9" s="7" t="s">
        <v>502</v>
      </c>
      <c r="J9" s="14"/>
      <c r="K9" s="14"/>
      <c r="N9" s="21"/>
      <c r="O9" s="20"/>
    </row>
    <row r="10" spans="2:15" s="15" customFormat="1" ht="19.5" customHeight="1" x14ac:dyDescent="0.25">
      <c r="B10" s="10" t="s">
        <v>597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502</v>
      </c>
      <c r="I10" s="7" t="s">
        <v>502</v>
      </c>
      <c r="J10" s="14"/>
      <c r="K10" s="14"/>
    </row>
    <row r="11" spans="2:15" s="15" customFormat="1" ht="19.5" customHeight="1" x14ac:dyDescent="0.25">
      <c r="B11" s="10" t="s">
        <v>598</v>
      </c>
      <c r="C11" s="6">
        <v>100</v>
      </c>
      <c r="D11" s="6">
        <v>100</v>
      </c>
      <c r="E11" s="6">
        <v>100</v>
      </c>
      <c r="F11" s="6">
        <v>100</v>
      </c>
      <c r="G11" s="7" t="s">
        <v>502</v>
      </c>
      <c r="H11" s="7" t="s">
        <v>502</v>
      </c>
      <c r="I11" s="7" t="s">
        <v>502</v>
      </c>
      <c r="J11" s="14"/>
      <c r="K11" s="14"/>
    </row>
    <row r="12" spans="2:15" s="15" customFormat="1" ht="16.5" x14ac:dyDescent="0.25">
      <c r="B12" s="14"/>
      <c r="C12" s="14"/>
      <c r="D12" s="14"/>
      <c r="E12" s="14"/>
      <c r="F12" s="14"/>
      <c r="G12" s="14"/>
      <c r="H12" s="14"/>
      <c r="I12" s="16" t="s">
        <v>650</v>
      </c>
      <c r="J12" s="14"/>
      <c r="K12" s="14"/>
    </row>
    <row r="13" spans="2:15" s="15" customFormat="1" ht="16.5" x14ac:dyDescent="0.2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6.5" x14ac:dyDescent="0.2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6.5" x14ac:dyDescent="0.25">
      <c r="B15" s="18" t="s">
        <v>690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6.5" x14ac:dyDescent="0.2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6.5" x14ac:dyDescent="0.2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6.5" x14ac:dyDescent="0.3">
      <c r="B18" s="17"/>
    </row>
    <row r="19" spans="2:11" s="15" customFormat="1" ht="19.5" customHeight="1" x14ac:dyDescent="0.25">
      <c r="B19" s="80" t="s">
        <v>613</v>
      </c>
      <c r="C19" s="80"/>
      <c r="D19" s="80"/>
      <c r="E19" s="80"/>
      <c r="F19" s="80"/>
      <c r="G19" s="80"/>
      <c r="H19" s="80"/>
      <c r="I19" s="80"/>
      <c r="J19" s="14"/>
      <c r="K19" s="14"/>
    </row>
    <row r="20" spans="2:11" s="15" customFormat="1" ht="19.5" customHeight="1" x14ac:dyDescent="0.25">
      <c r="B20" s="80"/>
      <c r="C20" s="80"/>
      <c r="D20" s="80"/>
      <c r="E20" s="80"/>
      <c r="F20" s="80"/>
      <c r="G20" s="80"/>
      <c r="H20" s="80"/>
      <c r="I20" s="80"/>
      <c r="J20" s="14"/>
      <c r="K20" s="14"/>
    </row>
    <row r="21" spans="2:11" s="15" customFormat="1" ht="19.5" customHeight="1" x14ac:dyDescent="0.25">
      <c r="B21" s="9" t="s">
        <v>606</v>
      </c>
      <c r="C21" s="77" t="s">
        <v>608</v>
      </c>
      <c r="D21" s="77"/>
      <c r="E21" s="77"/>
      <c r="F21" s="77"/>
      <c r="G21" s="77"/>
      <c r="H21" s="76" t="s">
        <v>609</v>
      </c>
      <c r="I21" s="76"/>
      <c r="J21" s="14"/>
      <c r="K21" s="14"/>
    </row>
    <row r="22" spans="2:11" s="15" customFormat="1" ht="19.5" customHeight="1" x14ac:dyDescent="0.25">
      <c r="B22" s="10" t="s">
        <v>496</v>
      </c>
      <c r="C22" s="78" t="s">
        <v>607</v>
      </c>
      <c r="D22" s="78"/>
      <c r="E22" s="78"/>
      <c r="F22" s="78"/>
      <c r="G22" s="78"/>
      <c r="H22" s="62"/>
      <c r="I22" s="62"/>
      <c r="J22" s="14"/>
      <c r="K22" s="14"/>
    </row>
    <row r="23" spans="2:11" s="15" customFormat="1" ht="19.5" customHeight="1" x14ac:dyDescent="0.25">
      <c r="B23" s="10" t="s">
        <v>499</v>
      </c>
      <c r="C23" s="78" t="s">
        <v>607</v>
      </c>
      <c r="D23" s="78"/>
      <c r="E23" s="78"/>
      <c r="F23" s="78"/>
      <c r="G23" s="78"/>
      <c r="H23" s="62"/>
      <c r="I23" s="62"/>
      <c r="J23" s="14"/>
      <c r="K23" s="14"/>
    </row>
    <row r="24" spans="2:11" s="15" customFormat="1" ht="19.5" customHeight="1" x14ac:dyDescent="0.25">
      <c r="B24" s="10" t="s">
        <v>501</v>
      </c>
      <c r="C24" s="78" t="s">
        <v>607</v>
      </c>
      <c r="D24" s="78"/>
      <c r="E24" s="78"/>
      <c r="F24" s="78"/>
      <c r="G24" s="78"/>
      <c r="H24" s="62"/>
      <c r="I24" s="62"/>
      <c r="J24" s="14"/>
      <c r="K24" s="14"/>
    </row>
    <row r="25" spans="2:11" s="15" customFormat="1" ht="19.5" customHeight="1" x14ac:dyDescent="0.25">
      <c r="B25" s="11" t="s">
        <v>503</v>
      </c>
      <c r="C25" s="78" t="s">
        <v>607</v>
      </c>
      <c r="D25" s="78"/>
      <c r="E25" s="78"/>
      <c r="F25" s="78"/>
      <c r="G25" s="78"/>
      <c r="H25" s="62"/>
      <c r="I25" s="62"/>
      <c r="J25" s="14"/>
      <c r="K25" s="14"/>
    </row>
    <row r="26" spans="2:11" s="15" customFormat="1" ht="19.5" customHeight="1" x14ac:dyDescent="0.25">
      <c r="B26" s="10" t="s">
        <v>597</v>
      </c>
      <c r="C26" s="75" t="s">
        <v>611</v>
      </c>
      <c r="D26" s="62"/>
      <c r="E26" s="62"/>
      <c r="F26" s="62"/>
      <c r="G26" s="62"/>
      <c r="H26" s="62"/>
      <c r="I26" s="62"/>
      <c r="J26" s="14"/>
      <c r="K26" s="14"/>
    </row>
    <row r="27" spans="2:11" s="15" customFormat="1" ht="19.5" customHeight="1" x14ac:dyDescent="0.25">
      <c r="B27" s="10" t="s">
        <v>598</v>
      </c>
      <c r="C27" s="75" t="s">
        <v>612</v>
      </c>
      <c r="D27" s="62"/>
      <c r="E27" s="62"/>
      <c r="F27" s="62"/>
      <c r="G27" s="62"/>
      <c r="H27" s="62"/>
      <c r="I27" s="62"/>
      <c r="J27" s="14"/>
      <c r="K27" s="14"/>
    </row>
    <row r="28" spans="2:11" s="15" customFormat="1" ht="19.5" customHeight="1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25">
      <c r="B29" s="68" t="s">
        <v>648</v>
      </c>
      <c r="C29" s="69"/>
      <c r="D29" s="69"/>
      <c r="E29" s="69"/>
      <c r="F29" s="69"/>
      <c r="G29" s="69"/>
      <c r="H29" s="69"/>
      <c r="I29" s="70"/>
    </row>
    <row r="30" spans="2:11" x14ac:dyDescent="0.25">
      <c r="B30" s="71"/>
      <c r="C30" s="72"/>
      <c r="D30" s="72"/>
      <c r="E30" s="72"/>
      <c r="F30" s="72"/>
      <c r="G30" s="72"/>
      <c r="H30" s="72"/>
      <c r="I30" s="73"/>
    </row>
    <row r="31" spans="2:11" ht="39" customHeight="1" x14ac:dyDescent="0.25">
      <c r="B31" s="74" t="s">
        <v>641</v>
      </c>
      <c r="C31" s="74"/>
      <c r="D31" s="8" t="s">
        <v>642</v>
      </c>
      <c r="E31" s="57" t="s">
        <v>647</v>
      </c>
      <c r="F31" s="58"/>
      <c r="G31" s="59" t="s">
        <v>609</v>
      </c>
      <c r="H31" s="60"/>
      <c r="I31" s="61"/>
    </row>
    <row r="32" spans="2:11" s="14" customFormat="1" ht="38.25" customHeight="1" x14ac:dyDescent="0.25">
      <c r="B32" s="65" t="s">
        <v>496</v>
      </c>
      <c r="C32" s="64"/>
      <c r="D32" s="6" t="s">
        <v>616</v>
      </c>
      <c r="E32" s="62" t="s">
        <v>617</v>
      </c>
      <c r="F32" s="62"/>
      <c r="G32" s="62" t="s">
        <v>618</v>
      </c>
      <c r="H32" s="62"/>
      <c r="I32" s="62"/>
    </row>
    <row r="33" spans="2:9" s="14" customFormat="1" ht="38.25" customHeight="1" x14ac:dyDescent="0.25">
      <c r="B33" s="66" t="s">
        <v>499</v>
      </c>
      <c r="C33" s="64"/>
      <c r="D33" s="6" t="s">
        <v>616</v>
      </c>
      <c r="E33" s="62" t="s">
        <v>619</v>
      </c>
      <c r="F33" s="62"/>
      <c r="G33" s="62" t="s">
        <v>620</v>
      </c>
      <c r="H33" s="62"/>
      <c r="I33" s="62"/>
    </row>
    <row r="34" spans="2:9" s="14" customFormat="1" ht="38.25" customHeight="1" x14ac:dyDescent="0.25">
      <c r="B34" s="64" t="s">
        <v>503</v>
      </c>
      <c r="C34" s="64"/>
      <c r="D34" s="6" t="s">
        <v>616</v>
      </c>
      <c r="E34" s="62" t="s">
        <v>621</v>
      </c>
      <c r="F34" s="62"/>
      <c r="G34" s="63" t="s">
        <v>692</v>
      </c>
      <c r="H34" s="62"/>
      <c r="I34" s="62"/>
    </row>
    <row r="35" spans="2:9" s="14" customFormat="1" ht="38.25" customHeight="1" x14ac:dyDescent="0.25">
      <c r="B35" s="64" t="s">
        <v>694</v>
      </c>
      <c r="C35" s="64"/>
      <c r="D35" s="6" t="s">
        <v>623</v>
      </c>
      <c r="E35" s="62" t="s">
        <v>624</v>
      </c>
      <c r="F35" s="62"/>
      <c r="G35" s="63" t="s">
        <v>693</v>
      </c>
      <c r="H35" s="62"/>
      <c r="I35" s="62"/>
    </row>
    <row r="36" spans="2:9" s="14" customFormat="1" ht="38.25" customHeight="1" x14ac:dyDescent="0.25">
      <c r="B36" s="66" t="s">
        <v>598</v>
      </c>
      <c r="C36" s="64"/>
      <c r="D36" s="6" t="s">
        <v>626</v>
      </c>
      <c r="E36" s="67" t="s">
        <v>643</v>
      </c>
      <c r="F36" s="62"/>
      <c r="G36" s="63" t="s">
        <v>644</v>
      </c>
      <c r="H36" s="62"/>
      <c r="I36" s="62"/>
    </row>
    <row r="37" spans="2:9" s="14" customFormat="1" ht="38.25" customHeight="1" x14ac:dyDescent="0.25">
      <c r="B37" s="66" t="s">
        <v>597</v>
      </c>
      <c r="C37" s="64"/>
      <c r="D37" s="6" t="s">
        <v>628</v>
      </c>
      <c r="E37" s="62" t="s">
        <v>629</v>
      </c>
      <c r="F37" s="62"/>
      <c r="G37" s="63" t="s">
        <v>645</v>
      </c>
      <c r="H37" s="62"/>
      <c r="I37" s="62"/>
    </row>
    <row r="38" spans="2:9" s="14" customFormat="1" ht="38.25" customHeight="1" x14ac:dyDescent="0.25">
      <c r="B38" s="64" t="s">
        <v>631</v>
      </c>
      <c r="C38" s="64"/>
      <c r="D38" s="6" t="s">
        <v>616</v>
      </c>
      <c r="E38" s="62" t="s">
        <v>632</v>
      </c>
      <c r="F38" s="62"/>
      <c r="G38" s="62" t="s">
        <v>633</v>
      </c>
      <c r="H38" s="62"/>
      <c r="I38" s="62"/>
    </row>
    <row r="39" spans="2:9" s="14" customFormat="1" ht="38.25" customHeight="1" x14ac:dyDescent="0.25">
      <c r="B39" s="64" t="s">
        <v>634</v>
      </c>
      <c r="C39" s="64"/>
      <c r="D39" s="6" t="s">
        <v>616</v>
      </c>
      <c r="E39" s="62" t="s">
        <v>635</v>
      </c>
      <c r="F39" s="62"/>
      <c r="G39" s="62" t="s">
        <v>636</v>
      </c>
      <c r="H39" s="62"/>
      <c r="I39" s="62"/>
    </row>
    <row r="40" spans="2:9" s="14" customFormat="1" ht="38.25" customHeight="1" x14ac:dyDescent="0.25">
      <c r="B40" s="64" t="s">
        <v>637</v>
      </c>
      <c r="C40" s="64"/>
      <c r="D40" s="6" t="s">
        <v>623</v>
      </c>
      <c r="E40" s="62" t="s">
        <v>638</v>
      </c>
      <c r="F40" s="62"/>
      <c r="G40" s="63" t="s">
        <v>646</v>
      </c>
      <c r="H40" s="62"/>
      <c r="I40" s="62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T22" sqref="T22"/>
    </sheetView>
  </sheetViews>
  <sheetFormatPr defaultColWidth="9.140625" defaultRowHeight="15" x14ac:dyDescent="0.25"/>
  <cols>
    <col min="1" max="16384" width="9.14062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2"/>
  <sheetViews>
    <sheetView topLeftCell="D2" workbookViewId="0">
      <selection activeCell="L19" sqref="L19"/>
    </sheetView>
  </sheetViews>
  <sheetFormatPr defaultRowHeight="15" x14ac:dyDescent="0.25"/>
  <cols>
    <col min="2" max="2" width="8.7109375" customWidth="1"/>
    <col min="3" max="6" width="31.7109375" customWidth="1"/>
    <col min="10" max="21" width="18.28515625" customWidth="1"/>
  </cols>
  <sheetData>
    <row r="2" spans="1:13" ht="16.5" x14ac:dyDescent="0.3">
      <c r="A2">
        <v>1</v>
      </c>
      <c r="B2" s="1" t="s">
        <v>514</v>
      </c>
    </row>
    <row r="3" spans="1:13" ht="16.5" x14ac:dyDescent="0.3">
      <c r="A3" s="1">
        <v>2</v>
      </c>
      <c r="B3" s="1" t="s">
        <v>515</v>
      </c>
    </row>
    <row r="4" spans="1:13" x14ac:dyDescent="0.25">
      <c r="A4">
        <v>3</v>
      </c>
    </row>
    <row r="8" spans="1:13" ht="16.5" x14ac:dyDescent="0.3">
      <c r="B8" s="2" t="s">
        <v>585</v>
      </c>
      <c r="J8" s="1" t="s">
        <v>640</v>
      </c>
    </row>
    <row r="9" spans="1:13" ht="30" x14ac:dyDescent="0.25">
      <c r="C9" s="4" t="s">
        <v>516</v>
      </c>
      <c r="D9" s="4" t="s">
        <v>517</v>
      </c>
      <c r="E9" s="4" t="s">
        <v>518</v>
      </c>
      <c r="F9" s="4" t="s">
        <v>359</v>
      </c>
      <c r="J9" s="29" t="s">
        <v>570</v>
      </c>
      <c r="K9" s="29" t="s">
        <v>614</v>
      </c>
      <c r="L9" s="29" t="s">
        <v>615</v>
      </c>
      <c r="M9" s="29" t="s">
        <v>359</v>
      </c>
    </row>
    <row r="10" spans="1:13" ht="30" x14ac:dyDescent="0.25">
      <c r="C10" s="5" t="s">
        <v>519</v>
      </c>
      <c r="D10" s="5" t="s">
        <v>520</v>
      </c>
      <c r="E10" s="5" t="s">
        <v>521</v>
      </c>
      <c r="F10" s="5" t="s">
        <v>522</v>
      </c>
      <c r="J10" s="26" t="s">
        <v>496</v>
      </c>
      <c r="K10" s="27" t="s">
        <v>616</v>
      </c>
      <c r="L10" s="25">
        <v>2.2709999999999999</v>
      </c>
      <c r="M10" s="27" t="s">
        <v>618</v>
      </c>
    </row>
    <row r="11" spans="1:13" ht="30" x14ac:dyDescent="0.25">
      <c r="C11" s="5" t="s">
        <v>523</v>
      </c>
      <c r="D11" s="5" t="s">
        <v>520</v>
      </c>
      <c r="E11" s="5" t="s">
        <v>524</v>
      </c>
      <c r="F11" s="5" t="s">
        <v>525</v>
      </c>
      <c r="J11" s="26" t="s">
        <v>499</v>
      </c>
      <c r="K11" s="27" t="s">
        <v>616</v>
      </c>
      <c r="L11" s="25">
        <v>2.6139999999999999</v>
      </c>
      <c r="M11" s="27" t="s">
        <v>620</v>
      </c>
    </row>
    <row r="12" spans="1:13" ht="30" x14ac:dyDescent="0.25">
      <c r="C12" s="5" t="s">
        <v>526</v>
      </c>
      <c r="D12" s="5" t="s">
        <v>520</v>
      </c>
      <c r="E12" s="5" t="s">
        <v>527</v>
      </c>
      <c r="F12" s="5" t="s">
        <v>528</v>
      </c>
      <c r="J12" s="25" t="s">
        <v>503</v>
      </c>
      <c r="K12" s="27" t="s">
        <v>616</v>
      </c>
      <c r="L12" s="25">
        <v>1.6</v>
      </c>
      <c r="M12" s="27" t="s">
        <v>622</v>
      </c>
    </row>
    <row r="13" spans="1:13" ht="30" x14ac:dyDescent="0.25">
      <c r="C13" s="5" t="s">
        <v>529</v>
      </c>
      <c r="D13" s="5" t="s">
        <v>520</v>
      </c>
      <c r="E13" s="5" t="s">
        <v>530</v>
      </c>
      <c r="F13" s="5" t="s">
        <v>531</v>
      </c>
      <c r="J13" s="25" t="s">
        <v>694</v>
      </c>
      <c r="K13" s="27" t="s">
        <v>623</v>
      </c>
      <c r="L13" s="25">
        <v>2</v>
      </c>
      <c r="M13" s="27" t="s">
        <v>625</v>
      </c>
    </row>
    <row r="14" spans="1:13" ht="30" x14ac:dyDescent="0.25">
      <c r="C14" s="5" t="s">
        <v>532</v>
      </c>
      <c r="D14" s="5" t="s">
        <v>533</v>
      </c>
      <c r="E14" s="5" t="s">
        <v>534</v>
      </c>
      <c r="F14" s="5" t="s">
        <v>535</v>
      </c>
      <c r="J14" s="28" t="s">
        <v>598</v>
      </c>
      <c r="K14" s="27" t="s">
        <v>626</v>
      </c>
      <c r="L14" s="25">
        <v>0</v>
      </c>
      <c r="M14" s="27" t="s">
        <v>627</v>
      </c>
    </row>
    <row r="15" spans="1:13" ht="45" x14ac:dyDescent="0.25">
      <c r="C15" s="5" t="s">
        <v>536</v>
      </c>
      <c r="D15" s="5" t="s">
        <v>537</v>
      </c>
      <c r="E15" s="5" t="s">
        <v>538</v>
      </c>
      <c r="F15" s="5" t="s">
        <v>539</v>
      </c>
      <c r="J15" s="28" t="s">
        <v>597</v>
      </c>
      <c r="K15" s="27" t="s">
        <v>628</v>
      </c>
      <c r="L15" s="25">
        <v>0.42499999999999999</v>
      </c>
      <c r="M15" s="27" t="s">
        <v>630</v>
      </c>
    </row>
    <row r="16" spans="1:13" ht="30" x14ac:dyDescent="0.25">
      <c r="C16" s="5" t="s">
        <v>540</v>
      </c>
      <c r="D16" s="5" t="s">
        <v>520</v>
      </c>
      <c r="E16" s="5" t="s">
        <v>541</v>
      </c>
      <c r="F16" s="5" t="s">
        <v>542</v>
      </c>
      <c r="J16" s="25" t="s">
        <v>631</v>
      </c>
      <c r="K16" s="27" t="s">
        <v>616</v>
      </c>
      <c r="L16" s="25">
        <v>2.9910000000000001</v>
      </c>
      <c r="M16" s="27" t="s">
        <v>633</v>
      </c>
    </row>
    <row r="17" spans="2:13" x14ac:dyDescent="0.25">
      <c r="J17" s="25" t="s">
        <v>634</v>
      </c>
      <c r="K17" s="27" t="s">
        <v>616</v>
      </c>
      <c r="L17" s="25">
        <v>2.5139999999999998</v>
      </c>
      <c r="M17" s="27" t="s">
        <v>636</v>
      </c>
    </row>
    <row r="18" spans="2:13" ht="30" x14ac:dyDescent="0.25">
      <c r="J18" s="25" t="s">
        <v>637</v>
      </c>
      <c r="K18" s="27" t="s">
        <v>623</v>
      </c>
      <c r="L18" s="25">
        <v>2.0030000000000001</v>
      </c>
      <c r="M18" s="27" t="s">
        <v>639</v>
      </c>
    </row>
    <row r="19" spans="2:13" ht="45" x14ac:dyDescent="0.25">
      <c r="C19" s="5" t="s">
        <v>543</v>
      </c>
      <c r="D19" s="5" t="s">
        <v>552</v>
      </c>
      <c r="E19" s="5" t="s">
        <v>544</v>
      </c>
      <c r="F19" s="5" t="s">
        <v>545</v>
      </c>
      <c r="J19" s="25" t="s">
        <v>501</v>
      </c>
      <c r="K19" s="27" t="s">
        <v>616</v>
      </c>
      <c r="L19" s="25">
        <v>2.2709999999999999</v>
      </c>
      <c r="M19" s="27" t="s">
        <v>696</v>
      </c>
    </row>
    <row r="20" spans="2:13" ht="30" x14ac:dyDescent="0.25">
      <c r="C20" s="5" t="s">
        <v>546</v>
      </c>
      <c r="D20" s="5" t="s">
        <v>552</v>
      </c>
      <c r="E20" s="5" t="s">
        <v>547</v>
      </c>
      <c r="F20" s="5" t="s">
        <v>548</v>
      </c>
    </row>
    <row r="21" spans="2:13" ht="30" x14ac:dyDescent="0.25">
      <c r="C21" s="5" t="s">
        <v>549</v>
      </c>
      <c r="D21" s="5" t="s">
        <v>552</v>
      </c>
      <c r="E21" s="5" t="s">
        <v>550</v>
      </c>
      <c r="F21" s="5" t="s">
        <v>551</v>
      </c>
    </row>
    <row r="23" spans="2:13" x14ac:dyDescent="0.25">
      <c r="B23" s="2" t="s">
        <v>584</v>
      </c>
    </row>
    <row r="24" spans="2:13" x14ac:dyDescent="0.25">
      <c r="C24" s="4" t="s">
        <v>516</v>
      </c>
      <c r="D24" s="4" t="s">
        <v>553</v>
      </c>
      <c r="E24" s="4" t="s">
        <v>554</v>
      </c>
      <c r="F24" s="4" t="s">
        <v>359</v>
      </c>
    </row>
    <row r="25" spans="2:13" ht="30" x14ac:dyDescent="0.25">
      <c r="C25" s="5" t="s">
        <v>555</v>
      </c>
      <c r="D25" s="5" t="s">
        <v>556</v>
      </c>
      <c r="E25" s="5" t="s">
        <v>557</v>
      </c>
      <c r="F25" s="5" t="s">
        <v>558</v>
      </c>
    </row>
    <row r="26" spans="2:13" ht="30" x14ac:dyDescent="0.25">
      <c r="C26" s="5" t="s">
        <v>559</v>
      </c>
      <c r="D26" s="5" t="s">
        <v>560</v>
      </c>
      <c r="E26" s="5" t="s">
        <v>561</v>
      </c>
      <c r="F26" s="5" t="s">
        <v>562</v>
      </c>
    </row>
    <row r="27" spans="2:13" ht="30" x14ac:dyDescent="0.25">
      <c r="C27" s="5" t="s">
        <v>563</v>
      </c>
      <c r="D27" s="5" t="s">
        <v>564</v>
      </c>
      <c r="E27" s="5" t="s">
        <v>565</v>
      </c>
      <c r="F27" s="5" t="s">
        <v>566</v>
      </c>
    </row>
    <row r="28" spans="2:13" ht="30" x14ac:dyDescent="0.25">
      <c r="C28" s="5" t="s">
        <v>567</v>
      </c>
      <c r="D28" s="5" t="s">
        <v>568</v>
      </c>
      <c r="E28" s="5" t="s">
        <v>569</v>
      </c>
      <c r="F28" s="5" t="s">
        <v>542</v>
      </c>
    </row>
    <row r="31" spans="2:13" x14ac:dyDescent="0.25">
      <c r="B31" s="3" t="s">
        <v>583</v>
      </c>
    </row>
    <row r="32" spans="2:13" x14ac:dyDescent="0.25">
      <c r="C32" s="4" t="s">
        <v>570</v>
      </c>
      <c r="D32" s="4" t="s">
        <v>571</v>
      </c>
      <c r="E32" s="4" t="s">
        <v>572</v>
      </c>
    </row>
    <row r="33" spans="3:5" ht="30" x14ac:dyDescent="0.25">
      <c r="C33" s="5" t="s">
        <v>573</v>
      </c>
      <c r="D33" s="5">
        <v>2.2709999999999999</v>
      </c>
      <c r="E33" s="5" t="s">
        <v>574</v>
      </c>
    </row>
    <row r="34" spans="3:5" x14ac:dyDescent="0.25">
      <c r="C34" s="5" t="s">
        <v>575</v>
      </c>
      <c r="D34" s="5">
        <v>2.641</v>
      </c>
      <c r="E34" s="5" t="s">
        <v>576</v>
      </c>
    </row>
    <row r="35" spans="3:5" x14ac:dyDescent="0.25">
      <c r="C35" s="5" t="s">
        <v>577</v>
      </c>
      <c r="D35" s="5">
        <v>1.595</v>
      </c>
      <c r="E35" s="5" t="s">
        <v>576</v>
      </c>
    </row>
    <row r="36" spans="3:5" x14ac:dyDescent="0.25">
      <c r="C36" s="5" t="s">
        <v>578</v>
      </c>
      <c r="D36" s="5" t="s">
        <v>579</v>
      </c>
      <c r="E36" s="5" t="s">
        <v>576</v>
      </c>
    </row>
    <row r="37" spans="3:5" ht="30" x14ac:dyDescent="0.25">
      <c r="C37" s="5" t="s">
        <v>580</v>
      </c>
      <c r="D37" s="5" t="s">
        <v>581</v>
      </c>
      <c r="E37" s="5" t="s">
        <v>582</v>
      </c>
    </row>
    <row r="39" spans="3:5" x14ac:dyDescent="0.25">
      <c r="C39" s="4" t="s">
        <v>586</v>
      </c>
      <c r="D39" s="4" t="s">
        <v>587</v>
      </c>
      <c r="E39" s="4" t="s">
        <v>359</v>
      </c>
    </row>
    <row r="40" spans="3:5" x14ac:dyDescent="0.25">
      <c r="C40" s="5" t="s">
        <v>588</v>
      </c>
      <c r="D40" s="5" t="s">
        <v>589</v>
      </c>
      <c r="E40" s="5" t="s">
        <v>590</v>
      </c>
    </row>
    <row r="41" spans="3:5" ht="30" x14ac:dyDescent="0.25">
      <c r="C41" s="5" t="s">
        <v>591</v>
      </c>
      <c r="D41" s="5" t="s">
        <v>592</v>
      </c>
      <c r="E41" s="5" t="s">
        <v>593</v>
      </c>
    </row>
    <row r="42" spans="3:5" ht="30" x14ac:dyDescent="0.25">
      <c r="C42" s="5" t="s">
        <v>594</v>
      </c>
      <c r="D42" s="5" t="s">
        <v>595</v>
      </c>
      <c r="E42" s="5" t="s">
        <v>596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차량 DB</vt:lpstr>
      <vt:lpstr>연료 자료</vt:lpstr>
      <vt:lpstr>탄소배출 공식</vt:lpstr>
      <vt:lpstr>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2025-11-03T06:23:39Z</dcterms:created>
  <dcterms:modified xsi:type="dcterms:W3CDTF">2025-11-07T07:29:29Z</dcterms:modified>
</cp:coreProperties>
</file>